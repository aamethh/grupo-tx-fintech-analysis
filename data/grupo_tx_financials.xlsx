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eth\Desktop\"/>
    </mc:Choice>
  </mc:AlternateContent>
  <xr:revisionPtr revIDLastSave="0" documentId="13_ncr:1_{B0F2E972-D51E-4426-9A5E-F703F03CBABE}" xr6:coauthVersionLast="45" xr6:coauthVersionMax="45" xr10:uidLastSave="{00000000-0000-0000-0000-000000000000}"/>
  <bookViews>
    <workbookView xWindow="-108" yWindow="-108" windowWidth="23256" windowHeight="13176" activeTab="2" xr2:uid="{A3CB8D07-4289-438E-A1F1-5EA32D95DF3B}"/>
  </bookViews>
  <sheets>
    <sheet name="tm" sheetId="6" r:id="rId1"/>
    <sheet name="Tabla Maestra " sheetId="1" r:id="rId2"/>
    <sheet name="Ratios" sheetId="5" r:id="rId3"/>
    <sheet name="Analisis Verical-Horizontal " sheetId="2" r:id="rId4"/>
    <sheet name="base de datos" sheetId="4" r:id="rId5"/>
  </sheets>
  <definedNames>
    <definedName name="DatosExternos_1" localSheetId="0" hidden="1">tm!$A$1:$C$43</definedName>
    <definedName name="Tabla_Maestra">'Tabla Maestra '!$A$1:$V$5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5" l="1"/>
  <c r="R2" i="5"/>
  <c r="Q3" i="5"/>
  <c r="R3" i="5"/>
  <c r="Q4" i="5"/>
  <c r="R4" i="5"/>
  <c r="K3" i="1"/>
  <c r="M2" i="5" s="1"/>
  <c r="K4" i="1"/>
  <c r="M3" i="5" s="1"/>
  <c r="K5" i="1"/>
  <c r="M4" i="5" s="1"/>
  <c r="L2" i="5"/>
  <c r="L3" i="5"/>
  <c r="L4" i="5"/>
  <c r="K2" i="5"/>
  <c r="K3" i="5"/>
  <c r="K4" i="5"/>
  <c r="I2" i="5"/>
  <c r="I3" i="5"/>
  <c r="I4" i="5"/>
  <c r="J3" i="5"/>
  <c r="N3" i="5" s="1"/>
  <c r="J4" i="5"/>
  <c r="N4" i="5" s="1"/>
  <c r="J2" i="5"/>
  <c r="N2" i="5" s="1"/>
  <c r="H3" i="5"/>
  <c r="H4" i="5"/>
  <c r="H2" i="5"/>
  <c r="B4" i="2" l="1"/>
  <c r="D6" i="2"/>
  <c r="D8" i="2"/>
  <c r="N8" i="2" s="1"/>
  <c r="D7" i="2"/>
  <c r="N7" i="2" s="1"/>
  <c r="D5" i="2"/>
  <c r="N5" i="2" s="1"/>
  <c r="D4" i="2"/>
  <c r="N4" i="2" s="1"/>
  <c r="C8" i="2"/>
  <c r="M8" i="2" s="1"/>
  <c r="C7" i="2"/>
  <c r="M7" i="2" s="1"/>
  <c r="B8" i="2"/>
  <c r="L8" i="2" s="1"/>
  <c r="B7" i="2"/>
  <c r="L7" i="2" s="1"/>
  <c r="B6" i="2"/>
  <c r="L6" i="2" s="1"/>
  <c r="B3" i="2"/>
  <c r="L3" i="2" s="1"/>
  <c r="L5" i="1"/>
  <c r="L4" i="1"/>
  <c r="L3" i="1"/>
  <c r="Q7" i="2" l="1"/>
  <c r="R7" i="2"/>
  <c r="R8" i="2"/>
  <c r="P7" i="2"/>
  <c r="Q8" i="2"/>
  <c r="O7" i="2"/>
  <c r="N6" i="2"/>
  <c r="P8" i="2"/>
  <c r="O8" i="2"/>
  <c r="L4" i="2"/>
  <c r="G4" i="2"/>
  <c r="G8" i="2"/>
  <c r="G6" i="2"/>
  <c r="G7" i="2"/>
  <c r="G3" i="2"/>
  <c r="I3" i="2"/>
  <c r="D3" i="1"/>
  <c r="B5" i="2" s="1"/>
  <c r="L5" i="2" s="1"/>
  <c r="B4" i="1"/>
  <c r="H12" i="2" l="1"/>
  <c r="I12" i="2"/>
  <c r="G5" i="2"/>
  <c r="G12" i="2" s="1"/>
  <c r="C3" i="2"/>
  <c r="E4" i="1"/>
  <c r="B5" i="1"/>
  <c r="C4" i="1"/>
  <c r="D4" i="1" l="1"/>
  <c r="C5" i="2" s="1"/>
  <c r="C4" i="2"/>
  <c r="Q4" i="2" s="1"/>
  <c r="D3" i="2"/>
  <c r="C6" i="2"/>
  <c r="H3" i="2"/>
  <c r="Q3" i="2"/>
  <c r="O3" i="2"/>
  <c r="M3" i="2"/>
  <c r="H7" i="2"/>
  <c r="H8" i="2"/>
  <c r="I13" i="2" l="1"/>
  <c r="H13" i="2"/>
  <c r="Q5" i="2"/>
  <c r="M5" i="2"/>
  <c r="Q6" i="2"/>
  <c r="M6" i="2"/>
  <c r="O6" i="2"/>
  <c r="R6" i="2"/>
  <c r="H6" i="2"/>
  <c r="P6" i="2"/>
  <c r="P3" i="2"/>
  <c r="R3" i="2"/>
  <c r="N3" i="2"/>
  <c r="I5" i="2"/>
  <c r="G14" i="2" s="1"/>
  <c r="I6" i="2"/>
  <c r="I4" i="2"/>
  <c r="I7" i="2"/>
  <c r="H14" i="2" s="1"/>
  <c r="I8" i="2"/>
  <c r="I14" i="2" s="1"/>
  <c r="M4" i="2"/>
  <c r="P4" i="2"/>
  <c r="O4" i="2"/>
  <c r="R4" i="2"/>
  <c r="H4" i="2"/>
  <c r="P5" i="2"/>
  <c r="O5" i="2"/>
  <c r="H5" i="2"/>
  <c r="G13" i="2" s="1"/>
  <c r="R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ameth espinosa</author>
  </authors>
  <commentList>
    <comment ref="J18" authorId="0" shapeId="0" xr:uid="{6F18CFF4-4225-4913-846C-135EB31C525E}">
      <text>
        <r>
          <rPr>
            <b/>
            <sz val="9"/>
            <color indexed="81"/>
            <rFont val="Tahoma"/>
            <family val="2"/>
          </rPr>
          <t>ameth espinosa:</t>
        </r>
        <r>
          <rPr>
            <sz val="9"/>
            <color indexed="81"/>
            <rFont val="Tahoma"/>
            <family val="2"/>
          </rPr>
          <t xml:space="preserve">
|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35637-F826-4764-AACC-C9E850754E21}" keepAlive="1" name="Consulta - TablaMaestra" description="Conexión a la consulta 'TablaMaestra' en el libro." type="5" refreshedVersion="6" background="1" saveData="1">
    <dbPr connection="Provider=Microsoft.Mashup.OleDb.1;Data Source=$Workbook$;Location=TablaMaestra;Extended Properties=&quot;&quot;" command="SELECT * FROM [TablaMaestra]"/>
  </connection>
</connections>
</file>

<file path=xl/sharedStrings.xml><?xml version="1.0" encoding="utf-8"?>
<sst xmlns="http://schemas.openxmlformats.org/spreadsheetml/2006/main" count="141" uniqueCount="57">
  <si>
    <t>Año</t>
  </si>
  <si>
    <t>Días CxC</t>
  </si>
  <si>
    <t>D/E</t>
  </si>
  <si>
    <t xml:space="preserve">                                                                                                                                                           Tabla Maestra </t>
  </si>
  <si>
    <t xml:space="preserve"> EBIT</t>
  </si>
  <si>
    <t xml:space="preserve"> Utilidad Neta </t>
  </si>
  <si>
    <t xml:space="preserve">Activos Totales </t>
  </si>
  <si>
    <t>Deuda Total</t>
  </si>
  <si>
    <t>Gastos Financieros</t>
  </si>
  <si>
    <t xml:space="preserve"> NOPAT </t>
  </si>
  <si>
    <t xml:space="preserve"> Días Inventario</t>
  </si>
  <si>
    <t>DíasCxP</t>
  </si>
  <si>
    <t>Ingresos totales</t>
  </si>
  <si>
    <t xml:space="preserve">Costo de ventas </t>
  </si>
  <si>
    <t>Utilidad bruta</t>
  </si>
  <si>
    <t>EBITDA</t>
  </si>
  <si>
    <t>Patrimonio</t>
  </si>
  <si>
    <t>Ingresos Totales</t>
  </si>
  <si>
    <t>Costo de Ventas</t>
  </si>
  <si>
    <t>Utilidad Bruta</t>
  </si>
  <si>
    <t>EBIT</t>
  </si>
  <si>
    <t>Utilidad Neta</t>
  </si>
  <si>
    <t xml:space="preserve">Metricas </t>
  </si>
  <si>
    <t>2023</t>
  </si>
  <si>
    <t>2024</t>
  </si>
  <si>
    <t>2025</t>
  </si>
  <si>
    <t>Métrica</t>
  </si>
  <si>
    <t>Fórmula 2023</t>
  </si>
  <si>
    <t>Fórmula 2024</t>
  </si>
  <si>
    <t>Fórmula 2025</t>
  </si>
  <si>
    <t>Δ 24 vs 23 (USD)</t>
  </si>
  <si>
    <t>Δ 25 vs 24 (USD)</t>
  </si>
  <si>
    <t>Var % 24 vs 23</t>
  </si>
  <si>
    <t>Var % 25 vs 24</t>
  </si>
  <si>
    <r>
      <t xml:space="preserve">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Analisis Horizontal (Crecimiento Interanual)</t>
    </r>
  </si>
  <si>
    <r>
      <t xml:space="preserve">                                  </t>
    </r>
    <r>
      <rPr>
        <b/>
        <sz val="16"/>
        <color theme="1"/>
        <rFont val="Calibri"/>
        <family val="2"/>
        <scheme val="minor"/>
      </rPr>
      <t xml:space="preserve"> Analisis vertical  (%)</t>
    </r>
  </si>
  <si>
    <t>Valor (USD)</t>
  </si>
  <si>
    <t>Activo Corriente</t>
  </si>
  <si>
    <t>Pasivo Corriente</t>
  </si>
  <si>
    <t>Pasivo No Corriente</t>
  </si>
  <si>
    <t>Total Activos</t>
  </si>
  <si>
    <t>Total Pasivos</t>
  </si>
  <si>
    <t>2025 Q2</t>
  </si>
  <si>
    <t>Razon circulante</t>
  </si>
  <si>
    <t>prueba acida</t>
  </si>
  <si>
    <t>Deuda/Activos</t>
  </si>
  <si>
    <t>Capital de Trabajo</t>
  </si>
  <si>
    <t>Cobertura de intereses</t>
  </si>
  <si>
    <t>WACC</t>
  </si>
  <si>
    <t>Margen Bruto</t>
  </si>
  <si>
    <t>Margen Operativo</t>
  </si>
  <si>
    <t>Margen Neto</t>
  </si>
  <si>
    <t>% Deuda</t>
  </si>
  <si>
    <t>% Patrimonio</t>
  </si>
  <si>
    <t>año</t>
  </si>
  <si>
    <t>Metrica</t>
  </si>
  <si>
    <t>Valor(USD)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</si>
</sst>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0.0000%"/>
    <numFmt numFmtId="167" formatCode="&quot;$&quot;#,##0.00"/>
    <numFmt numFmtId="168" formatCode="_-[$£-809]* #,##0.00_-;\-[$£-809]* #,##0.00_-;_-[$£-809]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0"/>
      <color theme="1"/>
      <name val="Arial Unicode MS"/>
    </font>
    <font>
      <b/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2" borderId="2" applyNumberFormat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0" fontId="0" fillId="0" borderId="0" xfId="0" applyNumberFormat="1"/>
    <xf numFmtId="164" fontId="2" fillId="0" borderId="0" xfId="0" applyNumberFormat="1" applyFont="1"/>
    <xf numFmtId="0" fontId="2" fillId="0" borderId="0" xfId="0" applyNumberFormat="1" applyFont="1" applyBorder="1" applyAlignment="1">
      <alignment horizontal="left" indent="2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10" fontId="0" fillId="0" borderId="0" xfId="0" applyNumberFormat="1"/>
    <xf numFmtId="10" fontId="4" fillId="0" borderId="0" xfId="0" applyNumberFormat="1" applyFont="1" applyAlignment="1">
      <alignment horizontal="right" vertical="center" wrapText="1"/>
    </xf>
    <xf numFmtId="1" fontId="0" fillId="0" borderId="0" xfId="0" applyNumberFormat="1"/>
    <xf numFmtId="1" fontId="2" fillId="0" borderId="0" xfId="0" applyNumberFormat="1" applyFont="1"/>
    <xf numFmtId="1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65" fontId="0" fillId="0" borderId="0" xfId="0" applyNumberForma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/>
    <xf numFmtId="3" fontId="3" fillId="0" borderId="0" xfId="1" applyNumberFormat="1" applyFont="1"/>
    <xf numFmtId="164" fontId="3" fillId="0" borderId="0" xfId="0" applyNumberFormat="1" applyFont="1"/>
    <xf numFmtId="1" fontId="3" fillId="0" borderId="0" xfId="0" applyNumberFormat="1" applyFont="1" applyFill="1" applyAlignment="1">
      <alignment horizontal="right" vertical="center" wrapText="1"/>
    </xf>
    <xf numFmtId="0" fontId="9" fillId="0" borderId="0" xfId="0" applyNumberFormat="1" applyFont="1" applyBorder="1" applyAlignment="1">
      <alignment horizontal="left" indent="2"/>
    </xf>
    <xf numFmtId="0" fontId="9" fillId="0" borderId="1" xfId="0" applyNumberFormat="1" applyFont="1" applyBorder="1" applyAlignment="1">
      <alignment horizontal="left" indent="2"/>
    </xf>
    <xf numFmtId="0" fontId="3" fillId="0" borderId="0" xfId="0" applyNumberFormat="1" applyFont="1"/>
    <xf numFmtId="0" fontId="10" fillId="0" borderId="0" xfId="0" applyFont="1"/>
    <xf numFmtId="0" fontId="10" fillId="0" borderId="0" xfId="0" applyNumberFormat="1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167" fontId="0" fillId="0" borderId="0" xfId="0" applyNumberFormat="1"/>
    <xf numFmtId="16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167" fontId="14" fillId="0" borderId="0" xfId="0" applyNumberFormat="1" applyFont="1" applyAlignment="1">
      <alignment horizontal="right" vertical="center" wrapText="1"/>
    </xf>
    <xf numFmtId="167" fontId="3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" fontId="3" fillId="0" borderId="0" xfId="3" applyNumberFormat="1" applyFont="1" applyAlignment="1">
      <alignment horizontal="center" vertical="center" wrapText="1"/>
    </xf>
    <xf numFmtId="168" fontId="3" fillId="0" borderId="0" xfId="3" applyNumberFormat="1" applyFont="1" applyAlignment="1">
      <alignment horizontal="center" vertical="center" wrapText="1"/>
    </xf>
    <xf numFmtId="168" fontId="0" fillId="0" borderId="0" xfId="3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3" fillId="0" borderId="0" xfId="3" applyNumberFormat="1" applyFont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2" fontId="11" fillId="0" borderId="0" xfId="3" applyNumberFormat="1" applyFont="1" applyAlignment="1">
      <alignment horizontal="right" vertical="center" wrapText="1"/>
    </xf>
    <xf numFmtId="2" fontId="11" fillId="0" borderId="0" xfId="0" applyNumberFormat="1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 vertical="center" wrapText="1"/>
    </xf>
    <xf numFmtId="10" fontId="11" fillId="0" borderId="0" xfId="1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10" fontId="11" fillId="0" borderId="0" xfId="0" applyNumberFormat="1" applyFont="1" applyAlignment="1">
      <alignment vertical="center" wrapText="1"/>
    </xf>
    <xf numFmtId="3" fontId="15" fillId="2" borderId="2" xfId="2" applyNumberFormat="1" applyFont="1" applyAlignment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/>
  </cellXfs>
  <cellStyles count="4">
    <cellStyle name="Celda de comprobación" xfId="2" builtinId="23"/>
    <cellStyle name="Moneda" xfId="3" builtinId="4"/>
    <cellStyle name="Normal" xfId="0" builtinId="0"/>
    <cellStyle name="Porcentaje" xfId="1" builtinId="5"/>
  </cellStyles>
  <dxfs count="66">
    <dxf>
      <numFmt numFmtId="0" formatCode="General"/>
    </dxf>
    <dxf>
      <numFmt numFmtId="167" formatCode="&quot;$&quot;#,##0.00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</font>
      <numFmt numFmtId="14" formatCode="0.00%"/>
      <alignment horizontal="general" vertical="center" textRotation="0" wrapText="1" indent="0" justifyLastLine="0" shrinkToFit="0" readingOrder="0"/>
    </dxf>
    <dxf>
      <font>
        <b/>
        <i/>
      </font>
      <numFmt numFmtId="14" formatCode="0.00%"/>
      <alignment horizontal="general" vertical="center" textRotation="0" wrapText="1" indent="0" justifyLastLine="0" shrinkToFit="0" readingOrder="0"/>
    </dxf>
    <dxf>
      <font>
        <b/>
        <i/>
      </font>
      <numFmt numFmtId="14" formatCode="0.00%"/>
      <alignment horizontal="general" vertical="center" textRotation="0" wrapText="1" indent="0" justifyLastLine="0" shrinkToFit="0" readingOrder="0"/>
    </dxf>
    <dxf>
      <font>
        <b/>
        <i/>
      </font>
    </dxf>
    <dxf>
      <font>
        <b/>
        <i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0.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$&quot;#,##0.0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$&quot;#,##0.0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$&quot;#,##0.0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$&quot;#,##0.0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$&quot;#,##0.0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</font>
      <numFmt numFmtId="14" formatCode="0.00%"/>
    </dxf>
    <dxf>
      <font>
        <b/>
      </font>
      <numFmt numFmtId="14" formatCode="0.00%"/>
    </dxf>
    <dxf>
      <font>
        <b/>
      </font>
      <numFmt numFmtId="14" formatCode="0.00%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</font>
      <alignment horizontal="right" vertical="center" textRotation="0" wrapText="1" indent="0" justifyLastLine="0" shrinkToFit="0" readingOrder="0"/>
    </dxf>
    <dxf>
      <font>
        <b/>
        <i/>
      </font>
      <numFmt numFmtId="3" formatCode="#,##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14" formatCode="0.00%"/>
      <alignment horizontal="right" vertical="center" textRotation="0" wrapText="1" indent="0" justifyLastLine="0" shrinkToFit="0" readingOrder="0"/>
    </dxf>
    <dxf>
      <font>
        <b/>
        <i/>
      </font>
      <numFmt numFmtId="2" formatCode="0.0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numFmt numFmtId="4" formatCode="#,##0.00"/>
      <alignment horizontal="right" vertical="center" textRotation="0" wrapText="1" indent="0" justifyLastLine="0" shrinkToFit="0" readingOrder="0"/>
    </dxf>
    <dxf>
      <font>
        <b/>
        <i/>
      </font>
      <alignment horizontal="general" vertical="center" textRotation="0" wrapText="1" indent="0" justifyLastLine="0" shrinkToFit="0" readingOrder="0"/>
    </dxf>
    <dxf>
      <font>
        <b/>
        <i/>
      </font>
      <alignment horizontal="right" vertical="center" textRotation="0" wrapText="1" indent="0" justifyLastLine="0" shrinkToFit="0" readingOrder="0"/>
    </dxf>
    <dxf>
      <font>
        <b/>
      </font>
      <numFmt numFmtId="1" formatCode="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2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9FD091-0AD4-4849-964A-1578FD86168B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Metrica" tableColumnId="2"/>
      <queryTableField id="3" name="Valor(USD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DD7B9-0513-46F2-96F1-DEB990F1433C}" name="TablaMaestra2" displayName="TablaMaestra2" ref="A1:C43" tableType="queryTable" totalsRowShown="0">
  <autoFilter ref="A1:C43" xr:uid="{52EBFEBC-BC56-4432-8DF4-1B2163A141C8}"/>
  <tableColumns count="3">
    <tableColumn id="1" xr3:uid="{7003FF0D-67A6-414F-B0D2-34BF1F53BED1}" uniqueName="1" name="año" queryTableFieldId="1"/>
    <tableColumn id="2" xr3:uid="{03C36F82-A2E5-438C-83FE-9A35C00C5BD0}" uniqueName="2" name="Metrica" queryTableFieldId="2" dataDxfId="0"/>
    <tableColumn id="3" xr3:uid="{D5215B64-7570-4053-A4F6-0380897AB938}" uniqueName="3" name="Valor(USD)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D637C-13A9-472A-A1BE-DAAC16FAD9F5}" name="TablaMaestra" displayName="TablaMaestra" ref="A2:O5" totalsRowShown="0" headerRowDxfId="65" tableBorderDxfId="64">
  <autoFilter ref="A2:O5" xr:uid="{B82E00AF-DBB3-4606-80B3-59CFE536F665}"/>
  <tableColumns count="15">
    <tableColumn id="1" xr3:uid="{0D55EE8C-E18B-4FC9-9002-5B59E474E837}" name="Año" dataDxfId="63"/>
    <tableColumn id="3" xr3:uid="{FC53EC58-3FC2-4B61-9391-8FE05D63377B}" name="Ingresos totales" dataDxfId="62"/>
    <tableColumn id="4" xr3:uid="{7DD41B8F-1142-4E53-B690-C1D1252A93A3}" name="Costo de ventas " dataDxfId="61"/>
    <tableColumn id="5" xr3:uid="{D05809BC-DA51-45CE-81CA-411654B20298}" name="Utilidad bruta" dataDxfId="60"/>
    <tableColumn id="6" xr3:uid="{D6B7F5D2-C9C0-40EA-AD85-8EA34836BE43}" name="EBITDA" dataDxfId="59"/>
    <tableColumn id="7" xr3:uid="{69226B6B-C844-4359-A593-397991CD43B4}" name=" EBIT" dataDxfId="58"/>
    <tableColumn id="8" xr3:uid="{02BD6621-6830-4AA4-8FB6-A7FB604D3CE2}" name=" Utilidad Neta " dataDxfId="57"/>
    <tableColumn id="9" xr3:uid="{098F1204-BAE5-4EA3-8A55-5080BC99611C}" name="Patrimonio"/>
    <tableColumn id="2" xr3:uid="{5A77C51C-B62A-42D9-8C9F-326D69553FE7}" name="Activos Totales " dataDxfId="56"/>
    <tableColumn id="10" xr3:uid="{0DC685C6-2031-4975-9338-882076ED8D44}" name="Deuda Total" dataDxfId="55"/>
    <tableColumn id="11" xr3:uid="{1A5E3CAF-FFF6-415B-8D8D-2162D25EBE35}" name="Gastos Financieros" dataDxfId="54">
      <calculatedColumnFormula>TablaMaestra[[#This Row],[Deuda Total]]*0.0925</calculatedColumnFormula>
    </tableColumn>
    <tableColumn id="12" xr3:uid="{8315A719-2F7C-4AE8-A4E2-21C3A6F6B682}" name=" NOPAT " dataDxfId="53">
      <calculatedColumnFormula array="1" xml:space="preserve">     EBIT(USD)*0.75</calculatedColumnFormula>
    </tableColumn>
    <tableColumn id="13" xr3:uid="{CA0774B8-B8A1-499C-85A7-230D19A5F4C1}" name=" Días Inventario" dataDxfId="52"/>
    <tableColumn id="14" xr3:uid="{0048328B-4AD6-4D21-88E3-16B879C08FF1}" name="Días CxC" dataDxfId="51"/>
    <tableColumn id="15" xr3:uid="{E1857D26-ECFF-441D-A4BE-A2E351E59333}" name="DíasCxP" dataDxfId="5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01B50A-54B9-4938-AEC8-10B59475B7D6}" name="Ratios" displayName="Ratios" ref="A1:N4" totalsRowShown="0" dataDxfId="49">
  <autoFilter ref="A1:N4" xr:uid="{179012FC-D5DA-495E-B110-4799B9AE5369}"/>
  <tableColumns count="14">
    <tableColumn id="1" xr3:uid="{01D64BE0-38DA-4709-ADE9-6F138111E60F}" name="Año" dataDxfId="48"/>
    <tableColumn id="2" xr3:uid="{B4AAC22E-D3EC-484B-BFC8-CAB19C4B359B}" name="Activo Corriente" dataDxfId="47"/>
    <tableColumn id="3" xr3:uid="{71114631-75CC-4BDB-8140-8BC5388659A0}" name="Pasivo Corriente" dataDxfId="46"/>
    <tableColumn id="4" xr3:uid="{E7B09607-DD62-49CF-B7A2-218FBC45506D}" name="Pasivo No Corriente" dataDxfId="45"/>
    <tableColumn id="5" xr3:uid="{1148F9D7-FFAF-4AFE-B63B-8B3E97A41CB3}" name="Total Activos" dataDxfId="44"/>
    <tableColumn id="6" xr3:uid="{32CD49AA-729C-4D25-BCA2-2B1DA77D9014}" name="Total Pasivos" dataDxfId="43"/>
    <tableColumn id="7" xr3:uid="{0122F62D-4DF6-4455-B906-26EB88D83D17}" name="Patrimonio" dataDxfId="42"/>
    <tableColumn id="8" xr3:uid="{7315E661-43B9-445B-8F86-718A1D5451F0}" name="Razon circulante" dataDxfId="41" dataCellStyle="Moneda">
      <calculatedColumnFormula>B2/C2</calculatedColumnFormula>
    </tableColumn>
    <tableColumn id="9" xr3:uid="{65BE32C8-8559-43C2-8AC4-110ACE9C713C}" name="prueba acida" dataDxfId="40" dataCellStyle="Moneda">
      <calculatedColumnFormula>B2*0.9  / C2</calculatedColumnFormula>
    </tableColumn>
    <tableColumn id="10" xr3:uid="{DF191B55-9410-43EC-A2F4-2224D7A21EA7}" name="D/E" dataDxfId="39">
      <calculatedColumnFormula>F2/G2</calculatedColumnFormula>
    </tableColumn>
    <tableColumn id="11" xr3:uid="{31AB8B3E-0BD1-45CA-B17D-C6AD878FAC07}" name="Deuda/Activos" dataDxfId="38">
      <calculatedColumnFormula>F2/E2</calculatedColumnFormula>
    </tableColumn>
    <tableColumn id="12" xr3:uid="{F9A0224A-133E-42D6-AFE4-4E65037B2287}" name="Capital de Trabajo" dataDxfId="37">
      <calculatedColumnFormula>B2-C2</calculatedColumnFormula>
    </tableColumn>
    <tableColumn id="13" xr3:uid="{1EEB68FE-BFB2-4D8E-A942-AE0E80DDAE03}" name="Cobertura de intereses" dataDxfId="36">
      <calculatedColumnFormula>'Tabla Maestra '!F3/'Tabla Maestra '!K3</calculatedColumnFormula>
    </tableColumn>
    <tableColumn id="14" xr3:uid="{F52190E6-4FDE-4477-A2F2-7B9C9C61BD06}" name="WACC" dataDxfId="35" dataCellStyle="Porcentaje">
      <calculatedColumnFormula>0.11*(1/(1+J2))+0.0925*(1-0.25)*(J2/(1+J2))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90F147-ACA4-4D4E-BBBA-C6C5AB7C6E75}" name="DEUDA" displayName="DEUDA" ref="P1:R4" totalsRowShown="0" headerRowDxfId="34">
  <autoFilter ref="P1:R4" xr:uid="{2A81ED11-4F5F-42E7-8A5F-0738EC343DAF}"/>
  <tableColumns count="3">
    <tableColumn id="1" xr3:uid="{B4A74AA0-DA2D-4967-9923-88FF082D0409}" name="Año"/>
    <tableColumn id="2" xr3:uid="{9F042C4A-7447-430C-9E17-6BE2FA411C59}" name="% Deuda" dataDxfId="33">
      <calculatedColumnFormula>F2/(F2+G2)</calculatedColumnFormula>
    </tableColumn>
    <tableColumn id="3" xr3:uid="{F365CA20-87CF-4718-99F0-456E02E62C19}" name="% Patrimonio" dataDxfId="32">
      <calculatedColumnFormula>G2/(F2+G2)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18C2DD-9349-40B1-B013-FF367403BF23}" name="metricas" displayName="metricas" ref="A2:D8" totalsRowShown="0" headerRowDxfId="31">
  <autoFilter ref="A2:D8" xr:uid="{55635050-6F9C-4354-AE7D-7A34A4DDA6B3}"/>
  <tableColumns count="4">
    <tableColumn id="1" xr3:uid="{2EB5ED7A-BAC1-47A8-9DC4-36AA453A8064}" name="Metricas " dataDxfId="30"/>
    <tableColumn id="2" xr3:uid="{18543BC6-A79D-47C0-8E53-59B63D27F87A}" name="2023" dataDxfId="29"/>
    <tableColumn id="3" xr3:uid="{4008BDC6-BBA3-4B96-B438-743C718266EB}" name="2024" dataDxfId="28"/>
    <tableColumn id="4" xr3:uid="{BF0DFE7B-CFBA-4DC8-85CB-042293BFB050}" name="2025" dataDxfId="27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367AEB-FA67-4CB0-BC75-BEBB9351F1C1}" name="analisisV" displayName="analisisV" ref="F2:I8" totalsRowShown="0" headerRowDxfId="26">
  <autoFilter ref="F2:I8" xr:uid="{090AF817-5E40-46FA-A8C4-921F33BE39E9}"/>
  <tableColumns count="4">
    <tableColumn id="1" xr3:uid="{CFB3FE78-7645-4541-A6E8-F3976B1BC059}" name="Métrica" dataDxfId="25"/>
    <tableColumn id="2" xr3:uid="{E548A2E3-72B4-4473-9045-F9FF3F6F4661}" name="Fórmula 2023" dataDxfId="24"/>
    <tableColumn id="3" xr3:uid="{B1ACC9AA-CD74-4FFC-BBD7-74748E40BC9E}" name="Fórmula 2024" dataDxfId="23"/>
    <tableColumn id="4" xr3:uid="{9BF1023B-DBDD-4664-965F-395A4529B234}" name="Fórmula 2025" dataDxfId="22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FFD030-6AC4-4F4F-B674-ED4A52159BF3}" name="analisisH" displayName="analisisH" ref="K2:R8" totalsRowShown="0" headerRowDxfId="21" dataDxfId="20">
  <autoFilter ref="K2:R8" xr:uid="{2BDDE276-4724-4420-8ADF-E2C72DE59CA3}"/>
  <tableColumns count="8">
    <tableColumn id="1" xr3:uid="{40E80E19-8DCB-478F-A5A6-DFB091BCB40A}" name="Métrica" dataDxfId="19"/>
    <tableColumn id="2" xr3:uid="{265D067B-B538-4745-8BFF-CCF20CEA680F}" name="2023" dataDxfId="18">
      <calculatedColumnFormula>B3</calculatedColumnFormula>
    </tableColumn>
    <tableColumn id="3" xr3:uid="{9E7D1DD8-6D30-4C10-B4AE-95F5B7C62637}" name="2024" dataDxfId="17">
      <calculatedColumnFormula>C3</calculatedColumnFormula>
    </tableColumn>
    <tableColumn id="4" xr3:uid="{E3735E38-1314-4BC2-A77F-D8E7817586CD}" name="2025" dataDxfId="16">
      <calculatedColumnFormula>D3</calculatedColumnFormula>
    </tableColumn>
    <tableColumn id="5" xr3:uid="{C205E2A6-0744-422F-9CDB-952EB43BFE63}" name="Δ 24 vs 23 (USD)" dataDxfId="15">
      <calculatedColumnFormula>C3-B3</calculatedColumnFormula>
    </tableColumn>
    <tableColumn id="6" xr3:uid="{E091DD27-43AA-4FB6-A52E-919A458EC519}" name="Δ 25 vs 24 (USD)" dataDxfId="14">
      <calculatedColumnFormula>D3-C3</calculatedColumnFormula>
    </tableColumn>
    <tableColumn id="7" xr3:uid="{C0568618-83EA-400C-B6A4-F33521BFB82E}" name="Var % 24 vs 23" dataDxfId="13">
      <calculatedColumnFormula>(C3-B3)/B3</calculatedColumnFormula>
    </tableColumn>
    <tableColumn id="8" xr3:uid="{0E31A27F-D464-4AF1-B37A-D3F49AD63967}" name="Var % 25 vs 24" dataDxfId="12">
      <calculatedColumnFormula>(D3-C3)/C3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1B876E-5708-41F4-8856-4BA2428E0662}" name="Margenes" displayName="Margenes" ref="F11:I14" totalsRowShown="0" headerRowDxfId="11" dataDxfId="10">
  <autoFilter ref="F11:I14" xr:uid="{FB556ABE-3047-44F4-88C1-93BEE2314C58}"/>
  <tableColumns count="4">
    <tableColumn id="1" xr3:uid="{EC59ACF7-42B3-4151-B1EB-0F622E30E9C9}" name="Año" dataDxfId="9"/>
    <tableColumn id="2" xr3:uid="{6E09CB4C-C443-4971-883D-6868AF7C7ECB}" name="Margen Bruto" dataDxfId="8"/>
    <tableColumn id="3" xr3:uid="{30CB2C29-B144-47FE-B635-9FA42513B14A}" name="Margen Operativo" dataDxfId="7"/>
    <tableColumn id="4" xr3:uid="{554C966B-4AB9-4CB5-B758-3A40E0882102}" name="Margen Neto" dataDxfId="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DA0AAF-24E8-4C6B-8407-8AC64EE4CA07}" name="basededatos" displayName="basededatos" ref="A1:C19" totalsRowShown="0" headerRowDxfId="5" dataDxfId="4">
  <autoFilter ref="A1:C19" xr:uid="{346B6F9B-78E9-4AC9-BFF0-0433E76D15B2}"/>
  <tableColumns count="3">
    <tableColumn id="1" xr3:uid="{2E48952C-1053-4D20-A0D7-8E135FBA431B}" name="Métrica" dataDxfId="3"/>
    <tableColumn id="2" xr3:uid="{2F861E30-C9D7-43EF-89DD-D7D715897695}" name="Año" dataDxfId="2"/>
    <tableColumn id="3" xr3:uid="{22963CBB-E83A-4ED9-B77A-63520A36B393}" name="Valor (USD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1EFE-4C83-47B3-8F79-142EA035064C}">
  <dimension ref="A1:C43"/>
  <sheetViews>
    <sheetView topLeftCell="A3" workbookViewId="0">
      <selection activeCell="B35" sqref="B35"/>
    </sheetView>
  </sheetViews>
  <sheetFormatPr baseColWidth="10" defaultRowHeight="14.4"/>
  <cols>
    <col min="1" max="1" width="6.44140625" bestFit="1" customWidth="1"/>
    <col min="2" max="2" width="16.33203125" bestFit="1" customWidth="1"/>
    <col min="3" max="3" width="12.5546875" bestFit="1" customWidth="1"/>
  </cols>
  <sheetData>
    <row r="1" spans="1:3">
      <c r="A1" t="s">
        <v>54</v>
      </c>
      <c r="B1" t="s">
        <v>55</v>
      </c>
      <c r="C1" t="s">
        <v>56</v>
      </c>
    </row>
    <row r="2" spans="1:3">
      <c r="A2">
        <v>2023</v>
      </c>
      <c r="B2" s="4" t="s">
        <v>12</v>
      </c>
      <c r="C2">
        <v>31436023</v>
      </c>
    </row>
    <row r="3" spans="1:3">
      <c r="A3">
        <v>2023</v>
      </c>
      <c r="B3" s="4" t="s">
        <v>13</v>
      </c>
      <c r="C3">
        <v>13042200</v>
      </c>
    </row>
    <row r="4" spans="1:3">
      <c r="A4">
        <v>2023</v>
      </c>
      <c r="B4" s="4" t="s">
        <v>14</v>
      </c>
      <c r="C4">
        <v>18393823</v>
      </c>
    </row>
    <row r="5" spans="1:3">
      <c r="A5">
        <v>2023</v>
      </c>
      <c r="B5" s="4" t="s">
        <v>15</v>
      </c>
      <c r="C5">
        <v>11221761</v>
      </c>
    </row>
    <row r="6" spans="1:3">
      <c r="A6">
        <v>2023</v>
      </c>
      <c r="B6" s="4" t="s">
        <v>4</v>
      </c>
      <c r="C6">
        <v>6406528</v>
      </c>
    </row>
    <row r="7" spans="1:3">
      <c r="A7">
        <v>2023</v>
      </c>
      <c r="B7" s="4" t="s">
        <v>5</v>
      </c>
      <c r="C7">
        <v>1036253</v>
      </c>
    </row>
    <row r="8" spans="1:3">
      <c r="A8">
        <v>2023</v>
      </c>
      <c r="B8" s="4" t="s">
        <v>16</v>
      </c>
      <c r="C8">
        <v>32400000</v>
      </c>
    </row>
    <row r="9" spans="1:3">
      <c r="A9">
        <v>2023</v>
      </c>
      <c r="B9" s="4" t="s">
        <v>6</v>
      </c>
      <c r="C9">
        <v>146854080</v>
      </c>
    </row>
    <row r="10" spans="1:3">
      <c r="A10">
        <v>2023</v>
      </c>
      <c r="B10" s="4" t="s">
        <v>7</v>
      </c>
      <c r="C10">
        <v>114454000</v>
      </c>
    </row>
    <row r="11" spans="1:3">
      <c r="A11">
        <v>2023</v>
      </c>
      <c r="B11" s="4" t="s">
        <v>8</v>
      </c>
      <c r="C11">
        <v>10586995</v>
      </c>
    </row>
    <row r="12" spans="1:3">
      <c r="A12">
        <v>2023</v>
      </c>
      <c r="B12" s="4" t="s">
        <v>9</v>
      </c>
      <c r="C12">
        <v>4804896</v>
      </c>
    </row>
    <row r="13" spans="1:3">
      <c r="A13">
        <v>2023</v>
      </c>
      <c r="B13" s="4" t="s">
        <v>10</v>
      </c>
      <c r="C13">
        <v>40</v>
      </c>
    </row>
    <row r="14" spans="1:3">
      <c r="A14">
        <v>2023</v>
      </c>
      <c r="B14" s="4" t="s">
        <v>1</v>
      </c>
      <c r="C14">
        <v>55</v>
      </c>
    </row>
    <row r="15" spans="1:3">
      <c r="A15">
        <v>2023</v>
      </c>
      <c r="B15" s="4" t="s">
        <v>11</v>
      </c>
      <c r="C15">
        <v>23</v>
      </c>
    </row>
    <row r="16" spans="1:3">
      <c r="A16">
        <v>2024</v>
      </c>
      <c r="B16" s="4" t="s">
        <v>12</v>
      </c>
      <c r="C16">
        <v>38710988</v>
      </c>
    </row>
    <row r="17" spans="1:3">
      <c r="A17">
        <v>2024</v>
      </c>
      <c r="B17" s="4" t="s">
        <v>13</v>
      </c>
      <c r="C17">
        <v>16060442.750458606</v>
      </c>
    </row>
    <row r="18" spans="1:3">
      <c r="A18">
        <v>2024</v>
      </c>
      <c r="B18" s="4" t="s">
        <v>14</v>
      </c>
      <c r="C18">
        <v>22650545.249541394</v>
      </c>
    </row>
    <row r="19" spans="1:3">
      <c r="A19">
        <v>2024</v>
      </c>
      <c r="B19" s="4" t="s">
        <v>15</v>
      </c>
      <c r="C19">
        <v>13818715.408430258</v>
      </c>
    </row>
    <row r="20" spans="1:3">
      <c r="A20">
        <v>2024</v>
      </c>
      <c r="B20" s="4" t="s">
        <v>4</v>
      </c>
      <c r="C20">
        <v>11200000</v>
      </c>
    </row>
    <row r="21" spans="1:3">
      <c r="A21">
        <v>2024</v>
      </c>
      <c r="B21" s="4" t="s">
        <v>5</v>
      </c>
      <c r="C21">
        <v>1276064</v>
      </c>
    </row>
    <row r="22" spans="1:3">
      <c r="A22">
        <v>2024</v>
      </c>
      <c r="B22" s="4" t="s">
        <v>16</v>
      </c>
      <c r="C22">
        <v>33499616</v>
      </c>
    </row>
    <row r="23" spans="1:3">
      <c r="A23">
        <v>2024</v>
      </c>
      <c r="B23" s="4" t="s">
        <v>6</v>
      </c>
      <c r="C23">
        <v>148510831</v>
      </c>
    </row>
    <row r="24" spans="1:3">
      <c r="A24">
        <v>2024</v>
      </c>
      <c r="B24" s="4" t="s">
        <v>7</v>
      </c>
      <c r="C24">
        <v>113354464</v>
      </c>
    </row>
    <row r="25" spans="1:3">
      <c r="A25">
        <v>2024</v>
      </c>
      <c r="B25" s="4" t="s">
        <v>8</v>
      </c>
      <c r="C25">
        <v>10485287.92</v>
      </c>
    </row>
    <row r="26" spans="1:3">
      <c r="A26">
        <v>2024</v>
      </c>
      <c r="B26" s="4" t="s">
        <v>9</v>
      </c>
      <c r="C26">
        <v>8400000</v>
      </c>
    </row>
    <row r="27" spans="1:3">
      <c r="A27">
        <v>2024</v>
      </c>
      <c r="B27" s="4" t="s">
        <v>10</v>
      </c>
      <c r="C27">
        <v>38</v>
      </c>
    </row>
    <row r="28" spans="1:3">
      <c r="A28">
        <v>2024</v>
      </c>
      <c r="B28" s="4" t="s">
        <v>1</v>
      </c>
      <c r="C28">
        <v>54</v>
      </c>
    </row>
    <row r="29" spans="1:3">
      <c r="A29">
        <v>2024</v>
      </c>
      <c r="B29" s="4" t="s">
        <v>11</v>
      </c>
      <c r="C29">
        <v>24</v>
      </c>
    </row>
    <row r="30" spans="1:3">
      <c r="A30">
        <v>2025</v>
      </c>
      <c r="B30" s="4" t="s">
        <v>12</v>
      </c>
      <c r="C30">
        <v>44517636.199999996</v>
      </c>
    </row>
    <row r="31" spans="1:3">
      <c r="A31">
        <v>2025</v>
      </c>
      <c r="B31" s="4" t="s">
        <v>13</v>
      </c>
      <c r="C31">
        <v>17801745</v>
      </c>
    </row>
    <row r="32" spans="1:3">
      <c r="A32">
        <v>2025</v>
      </c>
      <c r="B32" s="4" t="s">
        <v>14</v>
      </c>
      <c r="C32">
        <v>26715892</v>
      </c>
    </row>
    <row r="33" spans="1:3">
      <c r="A33">
        <v>2025</v>
      </c>
      <c r="B33" s="4" t="s">
        <v>15</v>
      </c>
      <c r="C33">
        <v>16559287</v>
      </c>
    </row>
    <row r="34" spans="1:3">
      <c r="A34">
        <v>2025</v>
      </c>
      <c r="B34" s="4" t="s">
        <v>4</v>
      </c>
      <c r="C34">
        <v>13000000</v>
      </c>
    </row>
    <row r="35" spans="1:3">
      <c r="A35">
        <v>2025</v>
      </c>
      <c r="B35" s="4" t="s">
        <v>5</v>
      </c>
      <c r="C35">
        <v>1912650</v>
      </c>
    </row>
    <row r="36" spans="1:3">
      <c r="A36">
        <v>2025</v>
      </c>
      <c r="B36" s="4" t="s">
        <v>16</v>
      </c>
      <c r="C36">
        <v>29742068</v>
      </c>
    </row>
    <row r="37" spans="1:3">
      <c r="A37">
        <v>2025</v>
      </c>
      <c r="B37" s="4" t="s">
        <v>6</v>
      </c>
      <c r="C37">
        <v>152543200</v>
      </c>
    </row>
    <row r="38" spans="1:3">
      <c r="A38">
        <v>2025</v>
      </c>
      <c r="B38" s="4" t="s">
        <v>7</v>
      </c>
      <c r="C38">
        <v>122801110</v>
      </c>
    </row>
    <row r="39" spans="1:3">
      <c r="A39">
        <v>2025</v>
      </c>
      <c r="B39" s="4" t="s">
        <v>8</v>
      </c>
      <c r="C39">
        <v>11359102.675000001</v>
      </c>
    </row>
    <row r="40" spans="1:3">
      <c r="A40">
        <v>2025</v>
      </c>
      <c r="B40" s="4" t="s">
        <v>9</v>
      </c>
      <c r="C40">
        <v>9750000</v>
      </c>
    </row>
    <row r="41" spans="1:3">
      <c r="A41">
        <v>2025</v>
      </c>
      <c r="B41" s="4" t="s">
        <v>10</v>
      </c>
      <c r="C41">
        <v>37</v>
      </c>
    </row>
    <row r="42" spans="1:3">
      <c r="A42">
        <v>2025</v>
      </c>
      <c r="B42" s="4" t="s">
        <v>1</v>
      </c>
      <c r="C42">
        <v>53</v>
      </c>
    </row>
    <row r="43" spans="1:3">
      <c r="A43">
        <v>2025</v>
      </c>
      <c r="B43" s="4" t="s">
        <v>11</v>
      </c>
      <c r="C43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93E0-9889-4B30-B85F-CC9D7DE8646E}">
  <sheetPr codeName="Hoja1">
    <tabColor theme="4" tint="-0.249977111117893"/>
  </sheetPr>
  <dimension ref="A1:CG313"/>
  <sheetViews>
    <sheetView topLeftCell="E1" zoomScale="66" zoomScaleNormal="66" workbookViewId="0">
      <selection activeCell="J5" sqref="J5"/>
    </sheetView>
  </sheetViews>
  <sheetFormatPr baseColWidth="10" defaultRowHeight="14.4"/>
  <cols>
    <col min="1" max="1" width="11.5546875" style="4"/>
    <col min="2" max="2" width="25.109375" style="4" customWidth="1"/>
    <col min="3" max="3" width="23.77734375" customWidth="1"/>
    <col min="4" max="4" width="24" customWidth="1"/>
    <col min="5" max="5" width="22.88671875" customWidth="1"/>
    <col min="6" max="6" width="22.109375" customWidth="1"/>
    <col min="7" max="7" width="21" customWidth="1"/>
    <col min="8" max="8" width="26.6640625" style="3" customWidth="1"/>
    <col min="9" max="9" width="25.77734375" customWidth="1"/>
    <col min="10" max="10" width="22.33203125" customWidth="1"/>
    <col min="11" max="11" width="24" customWidth="1"/>
    <col min="12" max="12" width="17.88671875" customWidth="1"/>
    <col min="13" max="13" width="24.6640625" customWidth="1"/>
    <col min="15" max="15" width="11.77734375" style="16" customWidth="1"/>
    <col min="16" max="16" width="13" style="14" bestFit="1" customWidth="1"/>
    <col min="17" max="17" width="12" style="14" customWidth="1"/>
    <col min="18" max="18" width="18" style="14" bestFit="1" customWidth="1"/>
    <col min="19" max="19" width="11.21875" style="14" customWidth="1"/>
    <col min="20" max="20" width="26.77734375" customWidth="1"/>
    <col min="21" max="21" width="36.6640625" customWidth="1"/>
    <col min="22" max="22" width="25.109375" customWidth="1"/>
  </cols>
  <sheetData>
    <row r="1" spans="1:85" ht="30" thickTop="1" thickBot="1">
      <c r="A1" s="58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6.2" thickTop="1">
      <c r="A2" s="6" t="s">
        <v>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4</v>
      </c>
      <c r="G2" s="5" t="s">
        <v>5</v>
      </c>
      <c r="H2" s="5" t="s">
        <v>16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</v>
      </c>
      <c r="O2" s="17" t="s">
        <v>11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85" ht="15.6">
      <c r="A3" s="26">
        <v>2023</v>
      </c>
      <c r="B3" s="22">
        <v>31436023</v>
      </c>
      <c r="C3" s="22">
        <v>13042200</v>
      </c>
      <c r="D3" s="22">
        <f>B3-C3</f>
        <v>18393823</v>
      </c>
      <c r="E3" s="22">
        <v>11221761</v>
      </c>
      <c r="F3" s="22">
        <v>6406528</v>
      </c>
      <c r="G3" s="13">
        <v>1036253</v>
      </c>
      <c r="H3" s="21">
        <v>32400000</v>
      </c>
      <c r="I3" s="13">
        <v>146854080</v>
      </c>
      <c r="J3" s="13">
        <v>114454000</v>
      </c>
      <c r="K3" s="49">
        <f>TablaMaestra[[#This Row],[Deuda Total]]*0.0925</f>
        <v>10586995</v>
      </c>
      <c r="L3" s="22">
        <f>TablaMaestra[ [#This Row],[ EBIT] ]*0.75</f>
        <v>4804896</v>
      </c>
      <c r="M3" s="22">
        <v>40</v>
      </c>
      <c r="N3" s="8">
        <v>55</v>
      </c>
      <c r="O3" s="18">
        <v>23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85" ht="15.6">
      <c r="A4" s="26">
        <v>2024</v>
      </c>
      <c r="B4" s="23">
        <f>9677747*4</f>
        <v>38710988</v>
      </c>
      <c r="C4" s="22">
        <f>B4*(C3/B3)</f>
        <v>16060442.750458606</v>
      </c>
      <c r="D4" s="22">
        <f>B4-C4</f>
        <v>22650545.249541394</v>
      </c>
      <c r="E4" s="22">
        <f>B4*(E3/B3)</f>
        <v>13818715.408430258</v>
      </c>
      <c r="F4" s="22">
        <v>11200000</v>
      </c>
      <c r="G4" s="13">
        <v>1276064</v>
      </c>
      <c r="H4" s="21">
        <v>33499616</v>
      </c>
      <c r="I4" s="13">
        <v>148510831</v>
      </c>
      <c r="J4" s="13">
        <v>113354464</v>
      </c>
      <c r="K4" s="13">
        <f>TablaMaestra[[#This Row],[Deuda Total]]*0.0925</f>
        <v>10485287.92</v>
      </c>
      <c r="L4" s="22">
        <f>TablaMaestra[ [#This Row],[ EBIT] ]*0.75</f>
        <v>8400000</v>
      </c>
      <c r="M4" s="22">
        <v>38</v>
      </c>
      <c r="N4" s="8">
        <v>54</v>
      </c>
      <c r="O4" s="25">
        <v>24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85" ht="16.2" thickBot="1">
      <c r="A5" s="27">
        <v>2025</v>
      </c>
      <c r="B5" s="22">
        <f>B4*1.15</f>
        <v>44517636.199999996</v>
      </c>
      <c r="C5" s="13">
        <v>17801745</v>
      </c>
      <c r="D5" s="13">
        <v>26715892</v>
      </c>
      <c r="E5" s="13">
        <v>16559287</v>
      </c>
      <c r="F5" s="22">
        <v>13000000</v>
      </c>
      <c r="G5" s="13">
        <v>1912650</v>
      </c>
      <c r="H5" s="21">
        <v>29742068</v>
      </c>
      <c r="I5" s="13">
        <v>152543200</v>
      </c>
      <c r="J5" s="13">
        <v>122801110</v>
      </c>
      <c r="K5" s="13">
        <f>TablaMaestra[[#This Row],[Deuda Total]]*0.0925</f>
        <v>11359102.675000001</v>
      </c>
      <c r="L5" s="22">
        <f xml:space="preserve"> TablaMaestra[ [#This Row],[ EBIT] ]*0.75</f>
        <v>9750000</v>
      </c>
      <c r="M5" s="22">
        <v>37</v>
      </c>
      <c r="N5" s="8">
        <v>53</v>
      </c>
      <c r="O5" s="18">
        <v>25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85">
      <c r="A6" s="28"/>
      <c r="C6" s="1"/>
      <c r="D6" s="1"/>
      <c r="E6" s="1"/>
      <c r="F6" s="1"/>
      <c r="G6" s="1"/>
      <c r="I6" s="1"/>
      <c r="J6" s="1"/>
      <c r="K6" s="1"/>
      <c r="L6" s="1"/>
      <c r="M6" s="1"/>
      <c r="N6" s="1"/>
      <c r="R6" s="20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C7" s="1"/>
      <c r="D7" s="1"/>
      <c r="E7" s="1"/>
      <c r="F7" s="1"/>
      <c r="G7" s="1"/>
      <c r="I7" s="1"/>
      <c r="J7" s="1"/>
      <c r="K7" s="1"/>
      <c r="L7" s="1"/>
      <c r="M7" s="1"/>
      <c r="N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7"/>
      <c r="B8" s="8"/>
      <c r="C8" s="8"/>
      <c r="D8" s="8"/>
      <c r="E8" s="8"/>
      <c r="F8" s="8"/>
      <c r="G8" s="1"/>
      <c r="I8" s="1"/>
      <c r="J8" s="1"/>
      <c r="K8" s="1"/>
      <c r="L8" s="1"/>
      <c r="M8" s="1"/>
      <c r="N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C9" s="1"/>
      <c r="D9" s="1"/>
      <c r="E9" s="1"/>
      <c r="F9" s="1"/>
      <c r="G9" s="1"/>
      <c r="I9" s="1"/>
      <c r="J9" s="1"/>
      <c r="K9" s="1"/>
      <c r="L9" s="1"/>
      <c r="M9" s="1"/>
      <c r="N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C10" s="1"/>
      <c r="D10" s="1"/>
      <c r="E10" s="1"/>
      <c r="F10" s="1"/>
      <c r="G10" s="1"/>
      <c r="I10" s="1"/>
      <c r="J10" s="1"/>
      <c r="K10" s="1"/>
      <c r="L10" s="1"/>
      <c r="M10" s="1"/>
      <c r="N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C11" s="1"/>
      <c r="D11" s="1"/>
      <c r="E11" s="1"/>
      <c r="F11" s="1"/>
      <c r="G11" s="1"/>
      <c r="I11" s="10"/>
      <c r="J11" s="10"/>
      <c r="K11" s="10"/>
      <c r="L11" s="1"/>
      <c r="M11" s="1"/>
      <c r="N11" s="1"/>
      <c r="O11" s="10"/>
      <c r="P11" s="10"/>
      <c r="Q11" s="10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C12" s="1"/>
      <c r="D12" s="1"/>
      <c r="E12" s="1"/>
      <c r="F12" s="1"/>
      <c r="G12" s="1"/>
      <c r="I12" s="12"/>
      <c r="J12" s="19"/>
      <c r="K12" s="11"/>
      <c r="L12" s="1"/>
      <c r="M12" s="1"/>
      <c r="N12" s="1"/>
      <c r="O12" s="12"/>
      <c r="P12" s="19"/>
      <c r="Q12" s="1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C13" s="1"/>
      <c r="D13" s="1"/>
      <c r="E13" s="1"/>
      <c r="F13" s="1"/>
      <c r="G13" s="1"/>
      <c r="I13" s="12"/>
      <c r="J13" s="19"/>
      <c r="K13" s="11"/>
      <c r="L13" s="1"/>
      <c r="M13" s="1"/>
      <c r="N13" s="1"/>
      <c r="O13" s="12"/>
      <c r="P13" s="19"/>
      <c r="Q13" s="1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>
      <c r="C14" s="1"/>
      <c r="D14" s="1"/>
      <c r="E14" s="1"/>
      <c r="F14" s="1"/>
      <c r="G14" s="1"/>
      <c r="I14" s="12"/>
      <c r="J14" s="19"/>
      <c r="K14" s="11"/>
      <c r="L14" s="1"/>
      <c r="M14" s="1"/>
      <c r="N14" s="1"/>
      <c r="O14" s="12"/>
      <c r="P14" s="19"/>
      <c r="Q14" s="1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C15" s="1"/>
      <c r="D15" s="1"/>
      <c r="E15" s="1"/>
      <c r="F15" s="1"/>
      <c r="G15" s="1"/>
      <c r="I15" s="12"/>
      <c r="J15" s="19"/>
      <c r="K15" s="11"/>
      <c r="L15" s="1"/>
      <c r="M15" s="1"/>
      <c r="N15" s="1"/>
      <c r="O15" s="12"/>
      <c r="P15" s="19"/>
      <c r="Q15" s="1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C16" s="1"/>
      <c r="D16" s="1"/>
      <c r="E16" s="1"/>
      <c r="F16" s="1"/>
      <c r="G16" s="1"/>
      <c r="I16" s="12"/>
      <c r="J16" s="19"/>
      <c r="K16" s="11"/>
      <c r="L16" s="1"/>
      <c r="M16" s="1"/>
      <c r="N16" s="1"/>
      <c r="O16" s="12"/>
      <c r="P16" s="19"/>
      <c r="Q16" s="1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3:85">
      <c r="C17" s="1"/>
      <c r="D17" s="1"/>
      <c r="E17" s="1"/>
      <c r="F17" s="1"/>
      <c r="G17" s="1"/>
      <c r="I17" s="12"/>
      <c r="J17" s="19"/>
      <c r="K17" s="11"/>
      <c r="L17" s="1"/>
      <c r="M17" s="1"/>
      <c r="N17" s="1"/>
      <c r="O17" s="12"/>
      <c r="P17" s="19"/>
      <c r="Q17" s="1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3:85">
      <c r="C18" s="1"/>
      <c r="D18" s="1"/>
      <c r="E18" s="1"/>
      <c r="F18" s="1"/>
      <c r="G18" s="1"/>
      <c r="I18" s="12"/>
      <c r="J18" s="19"/>
      <c r="K18" s="11"/>
      <c r="L18" s="1"/>
      <c r="M18" s="1"/>
      <c r="N18" s="1"/>
      <c r="O18" s="12"/>
      <c r="P18" s="19"/>
      <c r="Q18" s="1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3:85">
      <c r="C19" s="1"/>
      <c r="D19" s="1"/>
      <c r="E19" s="1"/>
      <c r="F19" s="1"/>
      <c r="G19" s="1"/>
      <c r="I19" s="12"/>
      <c r="J19" s="19"/>
      <c r="K19" s="11"/>
      <c r="L19" s="1"/>
      <c r="M19" s="1"/>
      <c r="N19" s="1"/>
      <c r="O19" s="12"/>
      <c r="P19" s="19"/>
      <c r="Q19" s="1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3:85">
      <c r="C20" s="1"/>
      <c r="D20" s="1"/>
      <c r="E20" s="1"/>
      <c r="F20" s="1"/>
      <c r="G20" s="1"/>
      <c r="I20" s="1"/>
      <c r="J20" s="1"/>
      <c r="K20" s="1"/>
      <c r="L20" s="1"/>
      <c r="M20" s="1"/>
      <c r="N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3:85">
      <c r="C21" s="1"/>
      <c r="D21" s="1"/>
      <c r="E21" s="1"/>
      <c r="F21" s="1"/>
      <c r="G21" s="1"/>
      <c r="I21" s="1"/>
      <c r="J21" s="1"/>
      <c r="K21" s="1"/>
      <c r="L21" s="1"/>
      <c r="M21" s="1"/>
      <c r="N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3:85">
      <c r="C22" s="1"/>
      <c r="D22" s="1"/>
      <c r="E22" s="1"/>
      <c r="F22" s="1"/>
      <c r="G22" s="1"/>
      <c r="I22" s="1"/>
      <c r="J22" s="1"/>
      <c r="K22" s="1"/>
      <c r="L22" s="1"/>
      <c r="M22" s="1"/>
      <c r="N22" s="1"/>
      <c r="Q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3:85">
      <c r="C23" s="1"/>
      <c r="D23" s="1"/>
      <c r="E23" s="1"/>
      <c r="F23" s="1"/>
      <c r="G23" s="1"/>
      <c r="I23" s="1"/>
      <c r="J23" s="1"/>
      <c r="K23" s="1"/>
      <c r="L23" s="1"/>
      <c r="M23" s="1"/>
      <c r="N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3:85">
      <c r="C24" s="1"/>
      <c r="D24" s="1"/>
      <c r="E24" s="1"/>
      <c r="F24" s="1"/>
      <c r="G24" s="1"/>
      <c r="I24" s="1"/>
      <c r="J24" s="1"/>
      <c r="K24" s="1"/>
      <c r="L24" s="1"/>
      <c r="M24" s="1"/>
      <c r="N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3:85">
      <c r="C25" s="1"/>
      <c r="D25" s="1"/>
      <c r="E25" s="1"/>
      <c r="F25" s="1"/>
      <c r="G25" s="1"/>
      <c r="I25" s="1"/>
      <c r="J25" s="1"/>
      <c r="K25" s="1"/>
      <c r="L25" s="1"/>
      <c r="M25" s="1"/>
      <c r="N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3:85">
      <c r="C26" s="1"/>
      <c r="D26" s="1"/>
      <c r="E26" s="1"/>
      <c r="F26" s="1"/>
      <c r="G26" s="1"/>
      <c r="I26" s="1"/>
      <c r="J26" s="1"/>
      <c r="K26" s="1"/>
      <c r="L26" s="1"/>
      <c r="M26" s="1"/>
      <c r="N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3:85">
      <c r="C27" s="1"/>
      <c r="D27" s="1"/>
      <c r="E27" s="1"/>
      <c r="F27" s="1"/>
      <c r="G27" s="1"/>
      <c r="I27" s="1"/>
      <c r="J27" s="1"/>
      <c r="K27" s="1"/>
      <c r="L27" s="1"/>
      <c r="M27" s="1"/>
      <c r="N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3:85">
      <c r="C28" s="1"/>
      <c r="D28" s="1"/>
      <c r="E28" s="1"/>
      <c r="F28" s="1"/>
      <c r="G28" s="1"/>
      <c r="I28" s="1"/>
      <c r="J28" s="1"/>
      <c r="K28" s="1"/>
      <c r="L28" s="1"/>
      <c r="M28" s="1"/>
      <c r="N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3:85">
      <c r="C29" s="1"/>
      <c r="D29" s="1"/>
      <c r="E29" s="1"/>
      <c r="F29" s="1"/>
      <c r="G29" s="1"/>
      <c r="I29" s="1"/>
      <c r="J29" s="1"/>
      <c r="K29" s="1"/>
      <c r="L29" s="1"/>
      <c r="M29" s="1"/>
      <c r="N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3:85">
      <c r="C30" s="1"/>
      <c r="D30" s="1"/>
      <c r="E30" s="1"/>
      <c r="F30" s="1"/>
      <c r="G30" s="1"/>
      <c r="I30" s="1"/>
      <c r="J30" s="1"/>
      <c r="K30" s="1"/>
      <c r="L30" s="1"/>
      <c r="M30" s="1"/>
      <c r="N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3:85">
      <c r="C31" s="1"/>
      <c r="D31" s="1"/>
      <c r="E31" s="1"/>
      <c r="F31" s="1"/>
      <c r="G31" s="1"/>
      <c r="I31" s="1"/>
      <c r="J31" s="1"/>
      <c r="K31" s="1"/>
      <c r="L31" s="1"/>
      <c r="M31" s="1"/>
      <c r="N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3:85">
      <c r="C32" s="1"/>
      <c r="D32" s="1"/>
      <c r="E32" s="1"/>
      <c r="F32" s="1"/>
      <c r="G32" s="1"/>
      <c r="I32" s="1"/>
      <c r="J32" s="1"/>
      <c r="K32" s="1"/>
      <c r="L32" s="1"/>
      <c r="M32" s="1"/>
      <c r="N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3:85">
      <c r="C33" s="1"/>
      <c r="D33" s="1"/>
      <c r="E33" s="1"/>
      <c r="F33" s="1"/>
      <c r="G33" s="1"/>
      <c r="I33" s="1"/>
      <c r="J33" s="1"/>
      <c r="K33" s="1"/>
      <c r="L33" s="1"/>
      <c r="M33" s="1"/>
      <c r="N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3:85"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3:85"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3:85">
      <c r="C36" s="1"/>
      <c r="D36" s="1"/>
      <c r="E36" s="1"/>
      <c r="F36" s="1"/>
      <c r="G36" s="1"/>
      <c r="I36" s="1"/>
      <c r="J36" s="1"/>
      <c r="K36" s="1"/>
      <c r="L36" s="1"/>
      <c r="M36" s="1"/>
      <c r="N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3:85">
      <c r="C37" s="1"/>
      <c r="D37" s="1"/>
      <c r="E37" s="1"/>
      <c r="F37" s="1"/>
      <c r="G37" s="1"/>
      <c r="I37" s="1"/>
      <c r="J37" s="1"/>
      <c r="K37" s="1"/>
      <c r="L37" s="1"/>
      <c r="M37" s="1"/>
      <c r="N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3:85">
      <c r="C38" s="1"/>
      <c r="D38" s="1"/>
      <c r="E38" s="1"/>
      <c r="F38" s="1"/>
      <c r="G38" s="1"/>
      <c r="I38" s="1"/>
      <c r="J38" s="1"/>
      <c r="K38" s="1"/>
      <c r="L38" s="1"/>
      <c r="M38" s="1"/>
      <c r="N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3:85">
      <c r="C39" s="1"/>
      <c r="D39" s="1"/>
      <c r="E39" s="1"/>
      <c r="F39" s="1"/>
      <c r="G39" s="1"/>
      <c r="I39" s="1"/>
      <c r="J39" s="1"/>
      <c r="K39" s="1"/>
      <c r="L39" s="1"/>
      <c r="M39" s="1"/>
      <c r="N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3:85">
      <c r="C40" s="1"/>
      <c r="D40" s="1"/>
      <c r="E40" s="1"/>
      <c r="F40" s="1"/>
      <c r="G40" s="1"/>
      <c r="I40" s="1"/>
      <c r="J40" s="1"/>
      <c r="K40" s="1"/>
      <c r="L40" s="1"/>
      <c r="M40" s="1"/>
      <c r="N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3:85">
      <c r="C41" s="1"/>
      <c r="D41" s="1"/>
      <c r="E41" s="1"/>
      <c r="F41" s="1"/>
      <c r="G41" s="1"/>
      <c r="I41" s="1"/>
      <c r="J41" s="1"/>
      <c r="K41" s="1"/>
      <c r="L41" s="1"/>
      <c r="M41" s="1"/>
      <c r="N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3:85"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3:85"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3:85"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3:85"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3:85"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3:85"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3:85"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3:85"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3:85"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3:85"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3:85"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3:85"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3:85"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3:85"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3:85">
      <c r="C56" s="1"/>
      <c r="D56" s="1"/>
      <c r="E56" s="1"/>
      <c r="F56" s="1"/>
      <c r="G56" s="1"/>
      <c r="I56" s="1"/>
      <c r="J56" s="1"/>
      <c r="K56" s="1"/>
      <c r="L56" s="1"/>
      <c r="M56" s="1"/>
      <c r="N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3:85">
      <c r="C57" s="1"/>
      <c r="D57" s="1"/>
      <c r="E57" s="1"/>
      <c r="F57" s="1"/>
      <c r="G57" s="1"/>
      <c r="I57" s="1"/>
      <c r="J57" s="1"/>
      <c r="K57" s="1"/>
      <c r="L57" s="1"/>
      <c r="M57" s="1"/>
      <c r="N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3:85">
      <c r="C58" s="1"/>
      <c r="D58" s="1"/>
      <c r="E58" s="1"/>
      <c r="F58" s="1"/>
      <c r="G58" s="1"/>
      <c r="I58" s="1"/>
      <c r="J58" s="1"/>
      <c r="K58" s="1"/>
      <c r="L58" s="1"/>
      <c r="M58" s="1"/>
      <c r="N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3:85"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3:85"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3:85"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3:85">
      <c r="C62" s="1"/>
      <c r="D62" s="1"/>
      <c r="E62" s="1"/>
      <c r="F62" s="1"/>
      <c r="G62" s="1"/>
      <c r="I62" s="1"/>
      <c r="J62" s="1"/>
      <c r="K62" s="1"/>
      <c r="L62" s="1"/>
      <c r="M62" s="1"/>
      <c r="N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3:85"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3:85"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3:85"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3:85"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3:85"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3:85"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3:85"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3:85"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3:85"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3:85"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3:85"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3:85"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3:85"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3:85"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3:85"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3:85">
      <c r="C78" s="1"/>
      <c r="D78" s="1"/>
      <c r="E78" s="1"/>
      <c r="F78" s="1"/>
      <c r="G78" s="1"/>
      <c r="I78" s="1"/>
      <c r="J78" s="1"/>
      <c r="K78" s="1"/>
      <c r="L78" s="1"/>
      <c r="M78" s="1"/>
      <c r="N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3:85">
      <c r="C79" s="1"/>
      <c r="D79" s="1"/>
      <c r="E79" s="1"/>
      <c r="F79" s="1"/>
      <c r="G79" s="1"/>
      <c r="I79" s="1"/>
      <c r="J79" s="1"/>
      <c r="K79" s="1"/>
      <c r="L79" s="1"/>
      <c r="M79" s="1"/>
      <c r="N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3:85">
      <c r="C80" s="1"/>
      <c r="D80" s="1"/>
      <c r="E80" s="1"/>
      <c r="F80" s="1"/>
      <c r="G80" s="1"/>
      <c r="I80" s="1"/>
      <c r="J80" s="1"/>
      <c r="K80" s="1"/>
      <c r="L80" s="1"/>
      <c r="M80" s="1"/>
      <c r="N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3:85">
      <c r="C81" s="1"/>
      <c r="D81" s="1"/>
      <c r="E81" s="1"/>
      <c r="F81" s="1"/>
      <c r="G81" s="1"/>
      <c r="I81" s="1"/>
      <c r="J81" s="1"/>
      <c r="K81" s="1"/>
      <c r="L81" s="1"/>
      <c r="M81" s="1"/>
      <c r="N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3:85">
      <c r="C82" s="1"/>
      <c r="D82" s="1"/>
      <c r="E82" s="1"/>
      <c r="F82" s="1"/>
      <c r="G82" s="1"/>
      <c r="I82" s="1"/>
      <c r="J82" s="1"/>
      <c r="K82" s="1"/>
      <c r="L82" s="1"/>
      <c r="M82" s="1"/>
      <c r="N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3:85">
      <c r="C83" s="1"/>
      <c r="D83" s="1"/>
      <c r="E83" s="1"/>
      <c r="F83" s="1"/>
      <c r="G83" s="1"/>
      <c r="I83" s="1"/>
      <c r="J83" s="1"/>
      <c r="K83" s="1"/>
      <c r="L83" s="1"/>
      <c r="M83" s="1"/>
      <c r="N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3:85">
      <c r="C84" s="1"/>
      <c r="D84" s="1"/>
      <c r="E84" s="1"/>
      <c r="F84" s="1"/>
      <c r="G84" s="1"/>
      <c r="I84" s="1"/>
      <c r="J84" s="1"/>
      <c r="K84" s="1"/>
      <c r="L84" s="1"/>
      <c r="M84" s="1"/>
      <c r="N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3:85">
      <c r="C85" s="1"/>
      <c r="D85" s="1"/>
      <c r="E85" s="1"/>
      <c r="F85" s="1"/>
      <c r="G85" s="1"/>
      <c r="I85" s="1"/>
      <c r="J85" s="1"/>
      <c r="K85" s="1"/>
      <c r="L85" s="1"/>
      <c r="M85" s="1"/>
      <c r="N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3:85">
      <c r="C86" s="1"/>
      <c r="D86" s="1"/>
      <c r="E86" s="1"/>
      <c r="F86" s="1"/>
      <c r="G86" s="1"/>
      <c r="I86" s="1"/>
      <c r="J86" s="1"/>
      <c r="K86" s="1"/>
      <c r="L86" s="1"/>
      <c r="M86" s="1"/>
      <c r="N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3:85">
      <c r="C87" s="1"/>
      <c r="D87" s="1"/>
      <c r="E87" s="1"/>
      <c r="F87" s="1"/>
      <c r="G87" s="1"/>
      <c r="I87" s="1"/>
      <c r="J87" s="1"/>
      <c r="K87" s="1"/>
      <c r="L87" s="1"/>
      <c r="M87" s="1"/>
      <c r="N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3:85">
      <c r="C88" s="1"/>
      <c r="D88" s="1"/>
      <c r="E88" s="1"/>
      <c r="F88" s="1"/>
      <c r="G88" s="1"/>
      <c r="I88" s="1"/>
      <c r="J88" s="1"/>
      <c r="K88" s="1"/>
      <c r="L88" s="1"/>
      <c r="M88" s="1"/>
      <c r="N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3:85"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3:85">
      <c r="C90" s="1"/>
      <c r="D90" s="1"/>
      <c r="E90" s="1"/>
      <c r="F90" s="1"/>
      <c r="G90" s="1"/>
      <c r="I90" s="1"/>
      <c r="J90" s="1"/>
      <c r="K90" s="1"/>
      <c r="L90" s="1"/>
      <c r="M90" s="1"/>
      <c r="N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3:85">
      <c r="C91" s="1"/>
      <c r="D91" s="1"/>
      <c r="E91" s="1"/>
      <c r="F91" s="1"/>
      <c r="G91" s="1"/>
      <c r="I91" s="1"/>
      <c r="J91" s="1"/>
      <c r="K91" s="1"/>
      <c r="L91" s="1"/>
      <c r="M91" s="1"/>
      <c r="N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3:85">
      <c r="C92" s="1"/>
      <c r="D92" s="1"/>
      <c r="E92" s="1"/>
      <c r="F92" s="1"/>
      <c r="G92" s="1"/>
      <c r="I92" s="1"/>
      <c r="J92" s="1"/>
      <c r="K92" s="1"/>
      <c r="L92" s="1"/>
      <c r="M92" s="1"/>
      <c r="N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3:85">
      <c r="C93" s="1"/>
      <c r="D93" s="1"/>
      <c r="E93" s="1"/>
      <c r="F93" s="1"/>
      <c r="G93" s="1"/>
      <c r="I93" s="1"/>
      <c r="J93" s="1"/>
      <c r="K93" s="1"/>
      <c r="L93" s="1"/>
      <c r="M93" s="1"/>
      <c r="N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3:85">
      <c r="C94" s="1"/>
      <c r="D94" s="1"/>
      <c r="E94" s="1"/>
      <c r="F94" s="1"/>
      <c r="G94" s="1"/>
      <c r="I94" s="1"/>
      <c r="J94" s="1"/>
      <c r="K94" s="1"/>
      <c r="L94" s="1"/>
      <c r="M94" s="1"/>
      <c r="N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3:85">
      <c r="C95" s="1"/>
      <c r="D95" s="1"/>
      <c r="E95" s="1"/>
      <c r="F95" s="1"/>
      <c r="G95" s="1"/>
      <c r="I95" s="1"/>
      <c r="J95" s="1"/>
      <c r="K95" s="1"/>
      <c r="L95" s="1"/>
      <c r="M95" s="1"/>
      <c r="N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3:85">
      <c r="C96" s="1"/>
      <c r="D96" s="1"/>
      <c r="E96" s="1"/>
      <c r="F96" s="1"/>
      <c r="G96" s="1"/>
      <c r="I96" s="1"/>
      <c r="J96" s="1"/>
      <c r="K96" s="1"/>
      <c r="L96" s="1"/>
      <c r="M96" s="1"/>
      <c r="N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3:85">
      <c r="C97" s="1"/>
      <c r="D97" s="1"/>
      <c r="E97" s="1"/>
      <c r="F97" s="1"/>
      <c r="G97" s="1"/>
      <c r="I97" s="1"/>
      <c r="J97" s="1"/>
      <c r="K97" s="1"/>
      <c r="L97" s="1"/>
      <c r="M97" s="1"/>
      <c r="N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3:85">
      <c r="C98" s="1"/>
      <c r="D98" s="1"/>
      <c r="E98" s="1"/>
      <c r="F98" s="1"/>
      <c r="G98" s="1"/>
      <c r="I98" s="1"/>
      <c r="J98" s="1"/>
      <c r="K98" s="1"/>
      <c r="L98" s="1"/>
      <c r="M98" s="1"/>
      <c r="N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3:85">
      <c r="C99" s="1"/>
      <c r="D99" s="1"/>
      <c r="E99" s="1"/>
      <c r="F99" s="1"/>
      <c r="G99" s="1"/>
      <c r="I99" s="1"/>
      <c r="J99" s="1"/>
      <c r="K99" s="1"/>
      <c r="L99" s="1"/>
      <c r="M99" s="1"/>
      <c r="N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3:85">
      <c r="C100" s="1"/>
      <c r="D100" s="1"/>
      <c r="E100" s="1"/>
      <c r="F100" s="1"/>
      <c r="G100" s="1"/>
      <c r="I100" s="1"/>
      <c r="J100" s="1"/>
      <c r="K100" s="1"/>
      <c r="L100" s="1"/>
      <c r="M100" s="1"/>
      <c r="N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3:85">
      <c r="C101" s="1"/>
      <c r="D101" s="1"/>
      <c r="E101" s="1"/>
      <c r="F101" s="1"/>
      <c r="G101" s="1"/>
      <c r="I101" s="1"/>
      <c r="J101" s="1"/>
      <c r="K101" s="1"/>
      <c r="L101" s="1"/>
      <c r="M101" s="1"/>
      <c r="N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3:85">
      <c r="C102" s="1"/>
      <c r="D102" s="1"/>
      <c r="E102" s="1"/>
      <c r="F102" s="1"/>
      <c r="G102" s="1"/>
      <c r="I102" s="1"/>
      <c r="J102" s="1"/>
      <c r="K102" s="1"/>
      <c r="L102" s="1"/>
      <c r="M102" s="1"/>
      <c r="N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3:85"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3:85">
      <c r="C104" s="1"/>
      <c r="D104" s="1"/>
      <c r="E104" s="1"/>
      <c r="F104" s="1"/>
      <c r="G104" s="1"/>
      <c r="I104" s="1"/>
      <c r="J104" s="1"/>
      <c r="K104" s="1"/>
      <c r="L104" s="1"/>
      <c r="M104" s="1"/>
      <c r="N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3:85">
      <c r="C105" s="1"/>
      <c r="D105" s="1"/>
      <c r="E105" s="1"/>
      <c r="F105" s="1"/>
      <c r="G105" s="1"/>
      <c r="I105" s="1"/>
      <c r="J105" s="1"/>
      <c r="K105" s="1"/>
      <c r="L105" s="1"/>
      <c r="M105" s="1"/>
      <c r="N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3:85">
      <c r="C106" s="1"/>
      <c r="D106" s="1"/>
      <c r="E106" s="1"/>
      <c r="F106" s="1"/>
      <c r="G106" s="1"/>
      <c r="I106" s="1"/>
      <c r="J106" s="1"/>
      <c r="K106" s="1"/>
      <c r="L106" s="1"/>
      <c r="M106" s="1"/>
      <c r="N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3:85"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3:85">
      <c r="C108" s="1"/>
      <c r="D108" s="1"/>
      <c r="E108" s="1"/>
      <c r="F108" s="1"/>
      <c r="G108" s="1"/>
      <c r="I108" s="1"/>
      <c r="J108" s="1"/>
      <c r="K108" s="1"/>
      <c r="L108" s="1"/>
      <c r="M108" s="1"/>
      <c r="N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3:85">
      <c r="C109" s="1"/>
      <c r="D109" s="1"/>
      <c r="E109" s="1"/>
      <c r="F109" s="1"/>
      <c r="G109" s="1"/>
      <c r="I109" s="1"/>
      <c r="J109" s="1"/>
      <c r="K109" s="1"/>
      <c r="L109" s="1"/>
      <c r="M109" s="1"/>
      <c r="N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3:85">
      <c r="C110" s="1"/>
      <c r="D110" s="1"/>
      <c r="E110" s="1"/>
      <c r="F110" s="1"/>
      <c r="G110" s="1"/>
      <c r="I110" s="1"/>
      <c r="J110" s="1"/>
      <c r="K110" s="1"/>
      <c r="L110" s="1"/>
      <c r="M110" s="1"/>
      <c r="N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3:85">
      <c r="C111" s="1"/>
      <c r="D111" s="1"/>
      <c r="E111" s="1"/>
      <c r="F111" s="1"/>
      <c r="G111" s="1"/>
      <c r="I111" s="1"/>
      <c r="J111" s="1"/>
      <c r="K111" s="1"/>
      <c r="L111" s="1"/>
      <c r="M111" s="1"/>
      <c r="N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3:85">
      <c r="C112" s="1"/>
      <c r="D112" s="1"/>
      <c r="E112" s="1"/>
      <c r="F112" s="1"/>
      <c r="G112" s="1"/>
      <c r="I112" s="1"/>
      <c r="J112" s="1"/>
      <c r="K112" s="1"/>
      <c r="L112" s="1"/>
      <c r="M112" s="1"/>
      <c r="N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3:85">
      <c r="C113" s="1"/>
      <c r="D113" s="1"/>
      <c r="E113" s="1"/>
      <c r="F113" s="1"/>
      <c r="G113" s="1"/>
      <c r="I113" s="1"/>
      <c r="J113" s="1"/>
      <c r="K113" s="1"/>
      <c r="L113" s="1"/>
      <c r="M113" s="1"/>
      <c r="N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3:85">
      <c r="C114" s="1"/>
      <c r="D114" s="1"/>
      <c r="E114" s="1"/>
      <c r="F114" s="1"/>
      <c r="G114" s="1"/>
      <c r="I114" s="1"/>
      <c r="J114" s="1"/>
      <c r="K114" s="1"/>
      <c r="L114" s="1"/>
      <c r="M114" s="1"/>
      <c r="N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3:85">
      <c r="C115" s="1"/>
      <c r="D115" s="1"/>
      <c r="E115" s="1"/>
      <c r="F115" s="1"/>
      <c r="G115" s="1"/>
      <c r="I115" s="1"/>
      <c r="J115" s="1"/>
      <c r="K115" s="1"/>
      <c r="L115" s="1"/>
      <c r="M115" s="1"/>
      <c r="N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3:85">
      <c r="C116" s="1"/>
      <c r="D116" s="1"/>
      <c r="E116" s="1"/>
      <c r="F116" s="1"/>
      <c r="G116" s="1"/>
      <c r="I116" s="1"/>
      <c r="J116" s="1"/>
      <c r="K116" s="1"/>
      <c r="L116" s="1"/>
      <c r="M116" s="1"/>
      <c r="N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3:85">
      <c r="C117" s="1"/>
      <c r="D117" s="1"/>
      <c r="E117" s="1"/>
      <c r="F117" s="1"/>
      <c r="G117" s="1"/>
      <c r="I117" s="1"/>
      <c r="J117" s="1"/>
      <c r="K117" s="1"/>
      <c r="L117" s="1"/>
      <c r="M117" s="1"/>
      <c r="N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3:85">
      <c r="C118" s="1"/>
      <c r="D118" s="1"/>
      <c r="E118" s="1"/>
      <c r="F118" s="1"/>
      <c r="G118" s="1"/>
      <c r="I118" s="1"/>
      <c r="J118" s="1"/>
      <c r="K118" s="1"/>
      <c r="L118" s="1"/>
      <c r="M118" s="1"/>
      <c r="N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3:85">
      <c r="C119" s="1"/>
      <c r="D119" s="1"/>
      <c r="E119" s="1"/>
      <c r="F119" s="1"/>
      <c r="G119" s="1"/>
      <c r="I119" s="1"/>
      <c r="J119" s="1"/>
      <c r="K119" s="1"/>
      <c r="L119" s="1"/>
      <c r="M119" s="1"/>
      <c r="N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3:85">
      <c r="C120" s="1"/>
      <c r="D120" s="1"/>
      <c r="E120" s="1"/>
      <c r="F120" s="1"/>
      <c r="G120" s="1"/>
      <c r="I120" s="1"/>
      <c r="J120" s="1"/>
      <c r="K120" s="1"/>
      <c r="L120" s="1"/>
      <c r="M120" s="1"/>
      <c r="N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3:85"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3:85"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3:85">
      <c r="C123" s="1"/>
      <c r="D123" s="1"/>
      <c r="E123" s="1"/>
      <c r="F123" s="1"/>
      <c r="G123" s="1"/>
      <c r="I123" s="1"/>
      <c r="J123" s="1"/>
      <c r="K123" s="1"/>
      <c r="L123" s="1"/>
      <c r="M123" s="1"/>
      <c r="N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3:85">
      <c r="C124" s="1"/>
      <c r="D124" s="1"/>
      <c r="E124" s="1"/>
      <c r="F124" s="1"/>
      <c r="G124" s="1"/>
      <c r="I124" s="1"/>
      <c r="J124" s="1"/>
      <c r="K124" s="1"/>
      <c r="L124" s="1"/>
      <c r="M124" s="1"/>
      <c r="N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3:85">
      <c r="C125" s="1"/>
      <c r="D125" s="1"/>
      <c r="E125" s="1"/>
      <c r="F125" s="1"/>
      <c r="G125" s="1"/>
      <c r="I125" s="1"/>
      <c r="J125" s="1"/>
      <c r="K125" s="1"/>
      <c r="L125" s="1"/>
      <c r="M125" s="1"/>
      <c r="N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3:85">
      <c r="C126" s="1"/>
      <c r="D126" s="1"/>
      <c r="E126" s="1"/>
      <c r="F126" s="1"/>
      <c r="G126" s="1"/>
      <c r="I126" s="1"/>
      <c r="J126" s="1"/>
      <c r="K126" s="1"/>
      <c r="L126" s="1"/>
      <c r="M126" s="1"/>
      <c r="N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3:85">
      <c r="C127" s="1"/>
      <c r="D127" s="1"/>
      <c r="E127" s="1"/>
      <c r="F127" s="1"/>
      <c r="G127" s="1"/>
      <c r="I127" s="1"/>
      <c r="J127" s="1"/>
      <c r="K127" s="1"/>
      <c r="L127" s="1"/>
      <c r="M127" s="1"/>
      <c r="N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3:85">
      <c r="C128" s="1"/>
      <c r="D128" s="1"/>
      <c r="E128" s="1"/>
      <c r="F128" s="1"/>
      <c r="G128" s="1"/>
      <c r="I128" s="1"/>
      <c r="J128" s="1"/>
      <c r="K128" s="1"/>
      <c r="L128" s="1"/>
      <c r="M128" s="1"/>
      <c r="N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3:85">
      <c r="C129" s="1"/>
      <c r="D129" s="1"/>
      <c r="E129" s="1"/>
      <c r="F129" s="1"/>
      <c r="G129" s="1"/>
      <c r="I129" s="1"/>
      <c r="J129" s="1"/>
      <c r="K129" s="1"/>
      <c r="L129" s="1"/>
      <c r="M129" s="1"/>
      <c r="N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3:85"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3:85">
      <c r="C131" s="1"/>
      <c r="D131" s="1"/>
      <c r="E131" s="1"/>
      <c r="F131" s="1"/>
      <c r="G131" s="1"/>
      <c r="I131" s="1"/>
      <c r="J131" s="1"/>
      <c r="K131" s="1"/>
      <c r="L131" s="1"/>
      <c r="M131" s="1"/>
      <c r="N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3:85">
      <c r="C132" s="1"/>
      <c r="D132" s="1"/>
      <c r="E132" s="1"/>
      <c r="F132" s="1"/>
      <c r="G132" s="1"/>
      <c r="I132" s="1"/>
      <c r="J132" s="1"/>
      <c r="K132" s="1"/>
      <c r="L132" s="1"/>
      <c r="M132" s="1"/>
      <c r="N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3:85"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3:85"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3:85">
      <c r="C135" s="1"/>
      <c r="D135" s="1"/>
      <c r="E135" s="1"/>
      <c r="F135" s="1"/>
      <c r="G135" s="1"/>
      <c r="I135" s="1"/>
      <c r="J135" s="1"/>
      <c r="K135" s="1"/>
      <c r="L135" s="1"/>
      <c r="M135" s="1"/>
      <c r="N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3:85">
      <c r="C136" s="1"/>
      <c r="D136" s="1"/>
      <c r="E136" s="1"/>
      <c r="F136" s="1"/>
      <c r="G136" s="1"/>
      <c r="I136" s="1"/>
      <c r="J136" s="1"/>
      <c r="K136" s="1"/>
      <c r="L136" s="1"/>
      <c r="M136" s="1"/>
      <c r="N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3:85">
      <c r="C137" s="1"/>
      <c r="D137" s="1"/>
      <c r="E137" s="1"/>
      <c r="F137" s="1"/>
      <c r="G137" s="1"/>
      <c r="I137" s="1"/>
      <c r="J137" s="1"/>
      <c r="K137" s="1"/>
      <c r="L137" s="1"/>
      <c r="M137" s="1"/>
      <c r="N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3:85">
      <c r="C138" s="1"/>
      <c r="D138" s="1"/>
      <c r="E138" s="1"/>
      <c r="F138" s="1"/>
      <c r="G138" s="1"/>
      <c r="I138" s="1"/>
      <c r="J138" s="1"/>
      <c r="K138" s="1"/>
      <c r="L138" s="1"/>
      <c r="M138" s="1"/>
      <c r="N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3:85">
      <c r="C139" s="1"/>
      <c r="D139" s="1"/>
      <c r="E139" s="1"/>
      <c r="F139" s="1"/>
      <c r="G139" s="1"/>
      <c r="I139" s="1"/>
      <c r="J139" s="1"/>
      <c r="K139" s="1"/>
      <c r="L139" s="1"/>
      <c r="M139" s="1"/>
      <c r="N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3:85">
      <c r="C140" s="1"/>
      <c r="D140" s="1"/>
      <c r="E140" s="1"/>
      <c r="F140" s="1"/>
      <c r="G140" s="1"/>
      <c r="I140" s="1"/>
      <c r="J140" s="1"/>
      <c r="K140" s="1"/>
      <c r="L140" s="1"/>
      <c r="M140" s="1"/>
      <c r="N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3:85"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3:85"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3:85"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3:85">
      <c r="C144" s="1"/>
      <c r="D144" s="1"/>
      <c r="E144" s="1"/>
      <c r="F144" s="1"/>
      <c r="G144" s="1"/>
      <c r="I144" s="1"/>
      <c r="J144" s="1"/>
      <c r="K144" s="1"/>
      <c r="L144" s="1"/>
      <c r="M144" s="1"/>
      <c r="N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3:85">
      <c r="C145" s="1"/>
      <c r="D145" s="1"/>
      <c r="E145" s="1"/>
      <c r="F145" s="1"/>
      <c r="G145" s="1"/>
      <c r="I145" s="1"/>
      <c r="J145" s="1"/>
      <c r="K145" s="1"/>
      <c r="L145" s="1"/>
      <c r="M145" s="1"/>
      <c r="N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3:85">
      <c r="C146" s="1"/>
      <c r="D146" s="1"/>
      <c r="E146" s="1"/>
      <c r="F146" s="1"/>
      <c r="G146" s="1"/>
      <c r="I146" s="1"/>
      <c r="J146" s="1"/>
      <c r="K146" s="1"/>
      <c r="L146" s="1"/>
      <c r="M146" s="1"/>
      <c r="N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3:85">
      <c r="C147" s="1"/>
      <c r="D147" s="1"/>
      <c r="E147" s="1"/>
      <c r="F147" s="1"/>
      <c r="G147" s="1"/>
      <c r="I147" s="1"/>
      <c r="J147" s="1"/>
      <c r="K147" s="1"/>
      <c r="L147" s="1"/>
      <c r="M147" s="1"/>
      <c r="N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3:85">
      <c r="C148" s="1"/>
      <c r="D148" s="1"/>
      <c r="E148" s="1"/>
      <c r="F148" s="1"/>
      <c r="G148" s="1"/>
      <c r="I148" s="1"/>
      <c r="J148" s="1"/>
      <c r="K148" s="1"/>
      <c r="L148" s="1"/>
      <c r="M148" s="1"/>
      <c r="N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3:85"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3:85">
      <c r="C150" s="1"/>
      <c r="D150" s="1"/>
      <c r="E150" s="1"/>
      <c r="F150" s="1"/>
      <c r="G150" s="1"/>
      <c r="I150" s="1"/>
      <c r="J150" s="1"/>
      <c r="K150" s="1"/>
      <c r="L150" s="1"/>
      <c r="M150" s="1"/>
      <c r="N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3:85">
      <c r="C151" s="1"/>
      <c r="D151" s="1"/>
      <c r="E151" s="1"/>
      <c r="F151" s="1"/>
      <c r="G151" s="1"/>
      <c r="I151" s="1"/>
      <c r="J151" s="1"/>
      <c r="K151" s="1"/>
      <c r="L151" s="1"/>
      <c r="M151" s="1"/>
      <c r="N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3:85">
      <c r="C152" s="1"/>
      <c r="D152" s="1"/>
      <c r="E152" s="1"/>
      <c r="F152" s="1"/>
      <c r="G152" s="1"/>
      <c r="I152" s="1"/>
      <c r="J152" s="1"/>
      <c r="K152" s="1"/>
      <c r="L152" s="1"/>
      <c r="M152" s="1"/>
      <c r="N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3:85">
      <c r="C153" s="1"/>
      <c r="D153" s="1"/>
      <c r="E153" s="1"/>
      <c r="F153" s="1"/>
      <c r="G153" s="1"/>
      <c r="I153" s="1"/>
      <c r="J153" s="1"/>
      <c r="K153" s="1"/>
      <c r="L153" s="1"/>
      <c r="M153" s="1"/>
      <c r="N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3:85">
      <c r="C154" s="1"/>
      <c r="D154" s="1"/>
      <c r="E154" s="1"/>
      <c r="F154" s="1"/>
      <c r="G154" s="1"/>
      <c r="I154" s="1"/>
      <c r="J154" s="1"/>
      <c r="K154" s="1"/>
      <c r="L154" s="1"/>
      <c r="M154" s="1"/>
      <c r="N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3:85">
      <c r="C155" s="1"/>
      <c r="D155" s="1"/>
      <c r="E155" s="1"/>
      <c r="F155" s="1"/>
      <c r="G155" s="1"/>
      <c r="I155" s="1"/>
      <c r="J155" s="1"/>
      <c r="K155" s="1"/>
      <c r="L155" s="1"/>
      <c r="M155" s="1"/>
      <c r="N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3:85">
      <c r="C156" s="1"/>
      <c r="D156" s="1"/>
      <c r="E156" s="1"/>
      <c r="F156" s="1"/>
      <c r="G156" s="1"/>
      <c r="I156" s="1"/>
      <c r="J156" s="1"/>
      <c r="K156" s="1"/>
      <c r="L156" s="1"/>
      <c r="M156" s="1"/>
      <c r="N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3:85"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3:85">
      <c r="C158" s="1"/>
      <c r="D158" s="1"/>
      <c r="E158" s="1"/>
      <c r="F158" s="1"/>
      <c r="G158" s="1"/>
      <c r="I158" s="1"/>
      <c r="J158" s="1"/>
      <c r="K158" s="1"/>
      <c r="L158" s="1"/>
      <c r="M158" s="1"/>
      <c r="N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3:85">
      <c r="C159" s="1"/>
      <c r="D159" s="1"/>
      <c r="E159" s="1"/>
      <c r="F159" s="1"/>
      <c r="G159" s="1"/>
      <c r="I159" s="1"/>
      <c r="J159" s="1"/>
      <c r="K159" s="1"/>
      <c r="L159" s="1"/>
      <c r="M159" s="1"/>
      <c r="N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3:85"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3:85"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3:85">
      <c r="C162" s="1"/>
      <c r="D162" s="1"/>
      <c r="E162" s="1"/>
      <c r="F162" s="1"/>
      <c r="G162" s="1"/>
      <c r="I162" s="1"/>
      <c r="J162" s="1"/>
      <c r="K162" s="1"/>
      <c r="L162" s="1"/>
      <c r="M162" s="1"/>
      <c r="N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3:85">
      <c r="C163" s="1"/>
      <c r="D163" s="1"/>
      <c r="E163" s="1"/>
      <c r="F163" s="1"/>
      <c r="G163" s="1"/>
      <c r="I163" s="1"/>
      <c r="J163" s="1"/>
      <c r="K163" s="1"/>
      <c r="L163" s="1"/>
      <c r="M163" s="1"/>
      <c r="N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3:85">
      <c r="C164" s="1"/>
      <c r="D164" s="1"/>
      <c r="E164" s="1"/>
      <c r="F164" s="1"/>
      <c r="G164" s="1"/>
      <c r="I164" s="1"/>
      <c r="J164" s="1"/>
      <c r="K164" s="1"/>
      <c r="L164" s="1"/>
      <c r="M164" s="1"/>
      <c r="N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3:85"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3:85">
      <c r="C166" s="1"/>
      <c r="D166" s="1"/>
      <c r="E166" s="1"/>
      <c r="F166" s="1"/>
      <c r="G166" s="1"/>
      <c r="I166" s="1"/>
      <c r="J166" s="1"/>
      <c r="K166" s="1"/>
      <c r="L166" s="1"/>
      <c r="M166" s="1"/>
      <c r="N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3:85">
      <c r="C167" s="1"/>
      <c r="D167" s="1"/>
      <c r="E167" s="1"/>
      <c r="F167" s="1"/>
      <c r="G167" s="1"/>
      <c r="I167" s="1"/>
      <c r="J167" s="1"/>
      <c r="K167" s="1"/>
      <c r="L167" s="1"/>
      <c r="M167" s="1"/>
      <c r="N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3:85">
      <c r="C168" s="1"/>
      <c r="D168" s="1"/>
      <c r="E168" s="1"/>
      <c r="F168" s="1"/>
      <c r="G168" s="1"/>
      <c r="I168" s="1"/>
      <c r="J168" s="1"/>
      <c r="K168" s="1"/>
      <c r="L168" s="1"/>
      <c r="M168" s="1"/>
      <c r="N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3:85">
      <c r="C169" s="1"/>
      <c r="D169" s="1"/>
      <c r="E169" s="1"/>
      <c r="F169" s="1"/>
      <c r="G169" s="1"/>
      <c r="I169" s="1"/>
      <c r="J169" s="1"/>
      <c r="K169" s="1"/>
      <c r="L169" s="1"/>
      <c r="M169" s="1"/>
      <c r="N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3:85"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3:85">
      <c r="C171" s="1"/>
      <c r="D171" s="1"/>
      <c r="E171" s="1"/>
      <c r="F171" s="1"/>
      <c r="G171" s="1"/>
      <c r="I171" s="1"/>
      <c r="J171" s="1"/>
      <c r="K171" s="1"/>
      <c r="L171" s="1"/>
      <c r="M171" s="1"/>
      <c r="N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3:85"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3:85">
      <c r="C173" s="1"/>
      <c r="D173" s="1"/>
      <c r="E173" s="1"/>
      <c r="F173" s="1"/>
      <c r="G173" s="1"/>
      <c r="I173" s="1"/>
      <c r="J173" s="1"/>
      <c r="K173" s="1"/>
      <c r="L173" s="1"/>
      <c r="M173" s="1"/>
      <c r="N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3:85">
      <c r="C174" s="1"/>
      <c r="D174" s="1"/>
      <c r="E174" s="1"/>
      <c r="F174" s="1"/>
      <c r="G174" s="1"/>
      <c r="I174" s="1"/>
      <c r="J174" s="1"/>
      <c r="K174" s="1"/>
      <c r="L174" s="1"/>
      <c r="M174" s="1"/>
      <c r="N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3:85">
      <c r="C175" s="1"/>
      <c r="D175" s="1"/>
      <c r="E175" s="1"/>
      <c r="F175" s="1"/>
      <c r="G175" s="1"/>
      <c r="I175" s="1"/>
      <c r="J175" s="1"/>
      <c r="K175" s="1"/>
      <c r="L175" s="1"/>
      <c r="M175" s="1"/>
      <c r="N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3:85">
      <c r="C176" s="1"/>
      <c r="D176" s="1"/>
      <c r="E176" s="1"/>
      <c r="F176" s="1"/>
      <c r="G176" s="1"/>
      <c r="I176" s="1"/>
      <c r="J176" s="1"/>
      <c r="K176" s="1"/>
      <c r="L176" s="1"/>
      <c r="M176" s="1"/>
      <c r="N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3:85">
      <c r="C177" s="1"/>
      <c r="D177" s="1"/>
      <c r="E177" s="1"/>
      <c r="F177" s="1"/>
      <c r="G177" s="1"/>
      <c r="I177" s="1"/>
      <c r="J177" s="1"/>
      <c r="K177" s="1"/>
      <c r="L177" s="1"/>
      <c r="M177" s="1"/>
      <c r="N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3:85">
      <c r="C178" s="1"/>
      <c r="D178" s="1"/>
      <c r="E178" s="1"/>
      <c r="F178" s="1"/>
      <c r="G178" s="1"/>
      <c r="I178" s="1"/>
      <c r="J178" s="1"/>
      <c r="K178" s="1"/>
      <c r="L178" s="1"/>
      <c r="M178" s="1"/>
      <c r="N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3:85">
      <c r="C179" s="1"/>
      <c r="D179" s="1"/>
      <c r="E179" s="1"/>
      <c r="F179" s="1"/>
      <c r="G179" s="1"/>
      <c r="I179" s="1"/>
      <c r="J179" s="1"/>
      <c r="K179" s="1"/>
      <c r="L179" s="1"/>
      <c r="M179" s="1"/>
      <c r="N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3:85">
      <c r="C180" s="1"/>
      <c r="D180" s="1"/>
      <c r="E180" s="1"/>
      <c r="F180" s="1"/>
      <c r="G180" s="1"/>
      <c r="I180" s="1"/>
      <c r="J180" s="1"/>
      <c r="K180" s="1"/>
      <c r="L180" s="1"/>
      <c r="M180" s="1"/>
      <c r="N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3:85">
      <c r="C181" s="1"/>
      <c r="D181" s="1"/>
      <c r="E181" s="1"/>
      <c r="F181" s="1"/>
      <c r="G181" s="1"/>
      <c r="I181" s="1"/>
      <c r="J181" s="1"/>
      <c r="K181" s="1"/>
      <c r="L181" s="1"/>
      <c r="M181" s="1"/>
      <c r="N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3:85">
      <c r="C182" s="1"/>
      <c r="D182" s="1"/>
      <c r="E182" s="1"/>
      <c r="F182" s="1"/>
      <c r="G182" s="1"/>
      <c r="I182" s="1"/>
      <c r="J182" s="1"/>
      <c r="K182" s="1"/>
      <c r="L182" s="1"/>
      <c r="M182" s="1"/>
      <c r="N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3:85">
      <c r="C183" s="1"/>
      <c r="D183" s="1"/>
      <c r="E183" s="1"/>
      <c r="F183" s="1"/>
      <c r="G183" s="1"/>
      <c r="I183" s="1"/>
      <c r="J183" s="1"/>
      <c r="K183" s="1"/>
      <c r="L183" s="1"/>
      <c r="M183" s="1"/>
      <c r="N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3:85">
      <c r="C184" s="1"/>
      <c r="D184" s="1"/>
      <c r="E184" s="1"/>
      <c r="F184" s="1"/>
      <c r="G184" s="1"/>
      <c r="I184" s="1"/>
      <c r="J184" s="1"/>
      <c r="K184" s="1"/>
      <c r="L184" s="1"/>
      <c r="M184" s="1"/>
      <c r="N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3:85">
      <c r="C185" s="1"/>
      <c r="D185" s="1"/>
      <c r="E185" s="1"/>
      <c r="F185" s="1"/>
      <c r="G185" s="1"/>
      <c r="I185" s="1"/>
      <c r="J185" s="1"/>
      <c r="K185" s="1"/>
      <c r="L185" s="1"/>
      <c r="M185" s="1"/>
      <c r="N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3:85">
      <c r="C186" s="1"/>
      <c r="D186" s="1"/>
      <c r="E186" s="1"/>
      <c r="F186" s="1"/>
      <c r="G186" s="1"/>
      <c r="I186" s="1"/>
      <c r="J186" s="1"/>
      <c r="K186" s="1"/>
      <c r="L186" s="1"/>
      <c r="M186" s="1"/>
      <c r="N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3:85">
      <c r="C187" s="1"/>
      <c r="D187" s="1"/>
      <c r="E187" s="1"/>
      <c r="F187" s="1"/>
      <c r="G187" s="1"/>
      <c r="I187" s="1"/>
      <c r="J187" s="1"/>
      <c r="K187" s="1"/>
      <c r="L187" s="1"/>
      <c r="M187" s="1"/>
      <c r="N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3:85"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3:85"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3:85">
      <c r="C190" s="1"/>
      <c r="D190" s="1"/>
      <c r="E190" s="1"/>
      <c r="F190" s="1"/>
      <c r="G190" s="1"/>
      <c r="I190" s="1"/>
      <c r="J190" s="1"/>
      <c r="K190" s="1"/>
      <c r="L190" s="1"/>
      <c r="M190" s="1"/>
      <c r="N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3:85">
      <c r="C191" s="1"/>
      <c r="D191" s="1"/>
      <c r="E191" s="1"/>
      <c r="F191" s="1"/>
      <c r="G191" s="1"/>
      <c r="I191" s="1"/>
      <c r="J191" s="1"/>
      <c r="K191" s="1"/>
      <c r="L191" s="1"/>
      <c r="M191" s="1"/>
      <c r="N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3:85">
      <c r="C192" s="1"/>
      <c r="D192" s="1"/>
      <c r="E192" s="1"/>
      <c r="F192" s="1"/>
      <c r="G192" s="1"/>
      <c r="I192" s="1"/>
      <c r="J192" s="1"/>
      <c r="K192" s="1"/>
      <c r="L192" s="1"/>
      <c r="M192" s="1"/>
      <c r="N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3:85"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3:85"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3:85">
      <c r="C195" s="1"/>
      <c r="D195" s="1"/>
      <c r="E195" s="1"/>
      <c r="F195" s="1"/>
      <c r="G195" s="1"/>
      <c r="I195" s="1"/>
      <c r="J195" s="1"/>
      <c r="K195" s="1"/>
      <c r="L195" s="1"/>
      <c r="M195" s="1"/>
      <c r="N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3:85">
      <c r="C196" s="1"/>
      <c r="D196" s="1"/>
      <c r="E196" s="1"/>
      <c r="F196" s="1"/>
      <c r="G196" s="1"/>
      <c r="I196" s="1"/>
      <c r="J196" s="1"/>
      <c r="K196" s="1"/>
      <c r="L196" s="1"/>
      <c r="M196" s="1"/>
      <c r="N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3:85">
      <c r="C197" s="1"/>
      <c r="D197" s="1"/>
      <c r="E197" s="1"/>
      <c r="F197" s="1"/>
      <c r="G197" s="1"/>
      <c r="I197" s="1"/>
      <c r="J197" s="1"/>
      <c r="K197" s="1"/>
      <c r="L197" s="1"/>
      <c r="M197" s="1"/>
      <c r="N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3:85">
      <c r="C198" s="1"/>
      <c r="D198" s="1"/>
      <c r="E198" s="1"/>
      <c r="F198" s="1"/>
      <c r="G198" s="1"/>
      <c r="I198" s="1"/>
      <c r="J198" s="1"/>
      <c r="K198" s="1"/>
      <c r="L198" s="1"/>
      <c r="M198" s="1"/>
      <c r="N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3:85">
      <c r="C199" s="1"/>
      <c r="D199" s="1"/>
      <c r="E199" s="1"/>
      <c r="F199" s="1"/>
      <c r="G199" s="1"/>
      <c r="I199" s="1"/>
      <c r="J199" s="1"/>
      <c r="K199" s="1"/>
      <c r="L199" s="1"/>
      <c r="M199" s="1"/>
      <c r="N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3:85">
      <c r="C200" s="1"/>
      <c r="D200" s="1"/>
      <c r="E200" s="1"/>
      <c r="F200" s="1"/>
      <c r="G200" s="1"/>
      <c r="I200" s="1"/>
      <c r="J200" s="1"/>
      <c r="K200" s="1"/>
      <c r="L200" s="1"/>
      <c r="M200" s="1"/>
      <c r="N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3:85">
      <c r="C201" s="1"/>
      <c r="D201" s="1"/>
      <c r="E201" s="1"/>
      <c r="F201" s="1"/>
      <c r="G201" s="1"/>
      <c r="I201" s="1"/>
      <c r="J201" s="1"/>
      <c r="K201" s="1"/>
      <c r="L201" s="1"/>
      <c r="M201" s="1"/>
      <c r="N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3:85">
      <c r="C202" s="1"/>
      <c r="D202" s="1"/>
      <c r="E202" s="1"/>
      <c r="F202" s="1"/>
      <c r="G202" s="1"/>
      <c r="I202" s="1"/>
      <c r="J202" s="1"/>
      <c r="K202" s="1"/>
      <c r="L202" s="1"/>
      <c r="M202" s="1"/>
      <c r="N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3:85">
      <c r="C203" s="1"/>
      <c r="D203" s="1"/>
      <c r="E203" s="1"/>
      <c r="F203" s="1"/>
      <c r="G203" s="1"/>
      <c r="I203" s="1"/>
      <c r="J203" s="1"/>
      <c r="K203" s="1"/>
      <c r="L203" s="1"/>
      <c r="M203" s="1"/>
      <c r="N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3:85">
      <c r="C204" s="1"/>
      <c r="D204" s="1"/>
      <c r="E204" s="1"/>
      <c r="F204" s="1"/>
      <c r="G204" s="1"/>
      <c r="I204" s="1"/>
      <c r="J204" s="1"/>
      <c r="K204" s="1"/>
      <c r="L204" s="1"/>
      <c r="M204" s="1"/>
      <c r="N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3:85">
      <c r="C205" s="1"/>
      <c r="D205" s="1"/>
      <c r="E205" s="1"/>
      <c r="F205" s="1"/>
      <c r="G205" s="1"/>
      <c r="I205" s="1"/>
      <c r="J205" s="1"/>
      <c r="K205" s="1"/>
      <c r="L205" s="1"/>
      <c r="M205" s="1"/>
      <c r="N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3:85">
      <c r="C206" s="1"/>
      <c r="D206" s="1"/>
      <c r="E206" s="1"/>
      <c r="F206" s="1"/>
      <c r="G206" s="1"/>
      <c r="I206" s="1"/>
      <c r="J206" s="1"/>
      <c r="K206" s="1"/>
      <c r="L206" s="1"/>
      <c r="M206" s="1"/>
      <c r="N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3:85">
      <c r="C207" s="1"/>
      <c r="D207" s="1"/>
      <c r="E207" s="1"/>
      <c r="F207" s="1"/>
      <c r="G207" s="1"/>
      <c r="I207" s="1"/>
      <c r="J207" s="1"/>
      <c r="K207" s="1"/>
      <c r="L207" s="1"/>
      <c r="M207" s="1"/>
      <c r="N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3:85">
      <c r="C208" s="1"/>
      <c r="D208" s="1"/>
      <c r="E208" s="1"/>
      <c r="F208" s="1"/>
      <c r="G208" s="1"/>
      <c r="I208" s="1"/>
      <c r="J208" s="1"/>
      <c r="K208" s="1"/>
      <c r="L208" s="1"/>
      <c r="M208" s="1"/>
      <c r="N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3:85">
      <c r="C209" s="1"/>
      <c r="D209" s="1"/>
      <c r="E209" s="1"/>
      <c r="F209" s="1"/>
      <c r="G209" s="1"/>
      <c r="I209" s="1"/>
      <c r="J209" s="1"/>
      <c r="K209" s="1"/>
      <c r="L209" s="1"/>
      <c r="M209" s="1"/>
      <c r="N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3:85">
      <c r="C210" s="1"/>
      <c r="D210" s="1"/>
      <c r="E210" s="1"/>
      <c r="F210" s="1"/>
      <c r="G210" s="1"/>
      <c r="I210" s="1"/>
      <c r="J210" s="1"/>
      <c r="K210" s="1"/>
      <c r="L210" s="1"/>
      <c r="M210" s="1"/>
      <c r="N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3:85">
      <c r="C211" s="1"/>
      <c r="D211" s="1"/>
      <c r="E211" s="1"/>
      <c r="F211" s="1"/>
      <c r="G211" s="1"/>
      <c r="I211" s="1"/>
      <c r="J211" s="1"/>
      <c r="K211" s="1"/>
      <c r="L211" s="1"/>
      <c r="M211" s="1"/>
      <c r="N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3:85">
      <c r="C212" s="1"/>
      <c r="D212" s="1"/>
      <c r="E212" s="1"/>
      <c r="F212" s="1"/>
      <c r="G212" s="1"/>
      <c r="I212" s="1"/>
      <c r="J212" s="1"/>
      <c r="K212" s="1"/>
      <c r="L212" s="1"/>
      <c r="M212" s="1"/>
      <c r="N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3:85">
      <c r="C213" s="1"/>
      <c r="D213" s="1"/>
      <c r="E213" s="1"/>
      <c r="F213" s="1"/>
      <c r="G213" s="1"/>
      <c r="I213" s="1"/>
      <c r="J213" s="1"/>
      <c r="K213" s="1"/>
      <c r="L213" s="1"/>
      <c r="M213" s="1"/>
      <c r="N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3:85">
      <c r="C214" s="1"/>
      <c r="D214" s="1"/>
      <c r="E214" s="1"/>
      <c r="F214" s="1"/>
      <c r="G214" s="1"/>
      <c r="I214" s="1"/>
      <c r="J214" s="1"/>
      <c r="K214" s="1"/>
      <c r="L214" s="1"/>
      <c r="M214" s="1"/>
      <c r="N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3:85">
      <c r="C215" s="1"/>
      <c r="D215" s="1"/>
      <c r="E215" s="1"/>
      <c r="F215" s="1"/>
      <c r="G215" s="1"/>
      <c r="I215" s="1"/>
      <c r="J215" s="1"/>
      <c r="K215" s="1"/>
      <c r="L215" s="1"/>
      <c r="M215" s="1"/>
      <c r="N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3:85">
      <c r="C216" s="1"/>
      <c r="D216" s="1"/>
      <c r="E216" s="1"/>
      <c r="F216" s="1"/>
      <c r="G216" s="1"/>
      <c r="I216" s="1"/>
      <c r="J216" s="1"/>
      <c r="K216" s="1"/>
      <c r="L216" s="1"/>
      <c r="M216" s="1"/>
      <c r="N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3:85">
      <c r="C217" s="1"/>
      <c r="D217" s="1"/>
      <c r="E217" s="1"/>
      <c r="F217" s="1"/>
      <c r="G217" s="1"/>
      <c r="I217" s="1"/>
      <c r="J217" s="1"/>
      <c r="K217" s="1"/>
      <c r="L217" s="1"/>
      <c r="M217" s="1"/>
      <c r="N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3:85">
      <c r="C218" s="1"/>
      <c r="D218" s="1"/>
      <c r="E218" s="1"/>
      <c r="F218" s="1"/>
      <c r="G218" s="1"/>
      <c r="I218" s="1"/>
      <c r="J218" s="1"/>
      <c r="K218" s="1"/>
      <c r="L218" s="1"/>
      <c r="M218" s="1"/>
      <c r="N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3:85">
      <c r="C219" s="1"/>
      <c r="D219" s="1"/>
      <c r="E219" s="1"/>
      <c r="F219" s="1"/>
      <c r="G219" s="1"/>
      <c r="I219" s="1"/>
      <c r="J219" s="1"/>
      <c r="K219" s="1"/>
      <c r="L219" s="1"/>
      <c r="M219" s="1"/>
      <c r="N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3:85"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3:85">
      <c r="C221" s="1"/>
      <c r="D221" s="1"/>
      <c r="E221" s="1"/>
      <c r="F221" s="1"/>
      <c r="G221" s="1"/>
      <c r="I221" s="1"/>
      <c r="J221" s="1"/>
      <c r="K221" s="1"/>
      <c r="L221" s="1"/>
      <c r="M221" s="1"/>
      <c r="N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3:85">
      <c r="C222" s="1"/>
      <c r="D222" s="1"/>
      <c r="E222" s="1"/>
      <c r="F222" s="1"/>
      <c r="G222" s="1"/>
      <c r="I222" s="1"/>
      <c r="J222" s="1"/>
      <c r="K222" s="1"/>
      <c r="L222" s="1"/>
      <c r="M222" s="1"/>
      <c r="N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3:85">
      <c r="C223" s="1"/>
      <c r="D223" s="1"/>
      <c r="E223" s="1"/>
      <c r="F223" s="1"/>
      <c r="G223" s="1"/>
      <c r="I223" s="1"/>
      <c r="J223" s="1"/>
      <c r="K223" s="1"/>
      <c r="L223" s="1"/>
      <c r="M223" s="1"/>
      <c r="N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3:85">
      <c r="C224" s="1"/>
      <c r="D224" s="1"/>
      <c r="E224" s="1"/>
      <c r="F224" s="1"/>
      <c r="G224" s="1"/>
      <c r="I224" s="1"/>
      <c r="J224" s="1"/>
      <c r="K224" s="1"/>
      <c r="L224" s="1"/>
      <c r="M224" s="1"/>
      <c r="N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3:85">
      <c r="C225" s="1"/>
      <c r="D225" s="1"/>
      <c r="E225" s="1"/>
      <c r="F225" s="1"/>
      <c r="G225" s="1"/>
      <c r="I225" s="1"/>
      <c r="J225" s="1"/>
      <c r="K225" s="1"/>
      <c r="L225" s="1"/>
      <c r="M225" s="1"/>
      <c r="N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3:85">
      <c r="C226" s="1"/>
      <c r="D226" s="1"/>
      <c r="E226" s="1"/>
      <c r="F226" s="1"/>
      <c r="G226" s="1"/>
      <c r="I226" s="1"/>
      <c r="J226" s="1"/>
      <c r="K226" s="1"/>
      <c r="L226" s="1"/>
      <c r="M226" s="1"/>
      <c r="N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3:85">
      <c r="C227" s="1"/>
      <c r="D227" s="1"/>
      <c r="E227" s="1"/>
      <c r="F227" s="1"/>
      <c r="G227" s="1"/>
      <c r="I227" s="1"/>
      <c r="J227" s="1"/>
      <c r="K227" s="1"/>
      <c r="L227" s="1"/>
      <c r="M227" s="1"/>
      <c r="N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3:85">
      <c r="C228" s="1"/>
      <c r="D228" s="1"/>
      <c r="E228" s="1"/>
      <c r="F228" s="1"/>
      <c r="G228" s="1"/>
      <c r="I228" s="1"/>
      <c r="J228" s="1"/>
      <c r="K228" s="1"/>
      <c r="L228" s="1"/>
      <c r="M228" s="1"/>
      <c r="N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3:85">
      <c r="C229" s="1"/>
      <c r="D229" s="1"/>
      <c r="E229" s="1"/>
      <c r="F229" s="1"/>
      <c r="G229" s="1"/>
      <c r="I229" s="1"/>
      <c r="J229" s="1"/>
      <c r="K229" s="1"/>
      <c r="L229" s="1"/>
      <c r="M229" s="1"/>
      <c r="N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3:85">
      <c r="C230" s="1"/>
      <c r="D230" s="1"/>
      <c r="E230" s="1"/>
      <c r="F230" s="1"/>
      <c r="G230" s="1"/>
      <c r="I230" s="1"/>
      <c r="J230" s="1"/>
      <c r="K230" s="1"/>
      <c r="L230" s="1"/>
      <c r="M230" s="1"/>
      <c r="N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3:85">
      <c r="C231" s="1"/>
      <c r="D231" s="1"/>
      <c r="E231" s="1"/>
      <c r="F231" s="1"/>
      <c r="G231" s="1"/>
      <c r="I231" s="1"/>
      <c r="J231" s="1"/>
      <c r="K231" s="1"/>
      <c r="L231" s="1"/>
      <c r="M231" s="1"/>
      <c r="N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3:85">
      <c r="C232" s="1"/>
      <c r="D232" s="1"/>
      <c r="E232" s="1"/>
      <c r="F232" s="1"/>
      <c r="G232" s="1"/>
      <c r="I232" s="1"/>
      <c r="J232" s="1"/>
      <c r="K232" s="1"/>
      <c r="L232" s="1"/>
      <c r="M232" s="1"/>
      <c r="N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3:85">
      <c r="C233" s="1"/>
      <c r="D233" s="1"/>
      <c r="E233" s="1"/>
      <c r="F233" s="1"/>
      <c r="G233" s="1"/>
      <c r="I233" s="1"/>
      <c r="J233" s="1"/>
      <c r="K233" s="1"/>
      <c r="L233" s="1"/>
      <c r="M233" s="1"/>
      <c r="N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3:85">
      <c r="C234" s="1"/>
      <c r="D234" s="1"/>
      <c r="E234" s="1"/>
      <c r="F234" s="1"/>
      <c r="G234" s="1"/>
      <c r="I234" s="1"/>
      <c r="J234" s="1"/>
      <c r="K234" s="1"/>
      <c r="L234" s="1"/>
      <c r="M234" s="1"/>
      <c r="N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3:85">
      <c r="C235" s="1"/>
      <c r="D235" s="1"/>
      <c r="E235" s="1"/>
      <c r="F235" s="1"/>
      <c r="G235" s="1"/>
      <c r="I235" s="1"/>
      <c r="J235" s="1"/>
      <c r="K235" s="1"/>
      <c r="L235" s="1"/>
      <c r="M235" s="1"/>
      <c r="N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3:85">
      <c r="C236" s="1"/>
      <c r="D236" s="1"/>
      <c r="E236" s="1"/>
      <c r="F236" s="1"/>
      <c r="G236" s="1"/>
      <c r="I236" s="1"/>
      <c r="J236" s="1"/>
      <c r="K236" s="1"/>
      <c r="L236" s="1"/>
      <c r="M236" s="1"/>
      <c r="N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3:85">
      <c r="C237" s="1"/>
      <c r="D237" s="1"/>
      <c r="E237" s="1"/>
      <c r="F237" s="1"/>
      <c r="G237" s="1"/>
      <c r="I237" s="1"/>
      <c r="J237" s="1"/>
      <c r="K237" s="1"/>
      <c r="L237" s="1"/>
      <c r="M237" s="1"/>
      <c r="N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3:85">
      <c r="C238" s="1"/>
      <c r="D238" s="1"/>
      <c r="E238" s="1"/>
      <c r="F238" s="1"/>
      <c r="G238" s="1"/>
      <c r="I238" s="1"/>
      <c r="J238" s="1"/>
      <c r="K238" s="1"/>
      <c r="L238" s="1"/>
      <c r="M238" s="1"/>
      <c r="N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3:85">
      <c r="C239" s="1"/>
      <c r="D239" s="1"/>
      <c r="E239" s="1"/>
      <c r="F239" s="1"/>
      <c r="G239" s="1"/>
      <c r="I239" s="1"/>
      <c r="J239" s="1"/>
      <c r="K239" s="1"/>
      <c r="L239" s="1"/>
      <c r="M239" s="1"/>
      <c r="N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3:85"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3:85">
      <c r="C241" s="1"/>
      <c r="D241" s="1"/>
      <c r="E241" s="1"/>
      <c r="F241" s="1"/>
      <c r="G241" s="1"/>
      <c r="I241" s="1"/>
      <c r="J241" s="1"/>
      <c r="K241" s="1"/>
      <c r="L241" s="1"/>
      <c r="M241" s="1"/>
      <c r="N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3:85">
      <c r="C242" s="1"/>
      <c r="D242" s="1"/>
      <c r="E242" s="1"/>
      <c r="F242" s="1"/>
      <c r="G242" s="1"/>
      <c r="I242" s="1"/>
      <c r="J242" s="1"/>
      <c r="K242" s="1"/>
      <c r="L242" s="1"/>
      <c r="M242" s="1"/>
      <c r="N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3:85">
      <c r="C243" s="1"/>
      <c r="D243" s="1"/>
      <c r="E243" s="1"/>
      <c r="F243" s="1"/>
      <c r="G243" s="1"/>
      <c r="I243" s="1"/>
      <c r="J243" s="1"/>
      <c r="K243" s="1"/>
      <c r="L243" s="1"/>
      <c r="M243" s="1"/>
      <c r="N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3:85">
      <c r="C244" s="1"/>
      <c r="D244" s="1"/>
      <c r="E244" s="1"/>
      <c r="F244" s="1"/>
      <c r="G244" s="1"/>
      <c r="I244" s="1"/>
      <c r="J244" s="1"/>
      <c r="K244" s="1"/>
      <c r="L244" s="1"/>
      <c r="M244" s="1"/>
      <c r="N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3:85">
      <c r="C245" s="1"/>
      <c r="D245" s="1"/>
      <c r="E245" s="1"/>
      <c r="F245" s="1"/>
      <c r="G245" s="1"/>
      <c r="I245" s="1"/>
      <c r="J245" s="1"/>
      <c r="K245" s="1"/>
      <c r="L245" s="1"/>
      <c r="M245" s="1"/>
      <c r="N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3:85">
      <c r="C246" s="1"/>
      <c r="D246" s="1"/>
      <c r="E246" s="1"/>
      <c r="F246" s="1"/>
      <c r="G246" s="1"/>
      <c r="I246" s="1"/>
      <c r="J246" s="1"/>
      <c r="K246" s="1"/>
      <c r="L246" s="1"/>
      <c r="M246" s="1"/>
      <c r="N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3:85">
      <c r="C247" s="1"/>
      <c r="D247" s="1"/>
      <c r="E247" s="1"/>
      <c r="F247" s="1"/>
      <c r="G247" s="1"/>
      <c r="I247" s="1"/>
      <c r="J247" s="1"/>
      <c r="K247" s="1"/>
      <c r="L247" s="1"/>
      <c r="M247" s="1"/>
      <c r="N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3:85">
      <c r="C248" s="1"/>
      <c r="D248" s="1"/>
      <c r="E248" s="1"/>
      <c r="F248" s="1"/>
      <c r="G248" s="1"/>
      <c r="I248" s="1"/>
      <c r="J248" s="1"/>
      <c r="K248" s="1"/>
      <c r="L248" s="1"/>
      <c r="M248" s="1"/>
      <c r="N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3:85">
      <c r="C249" s="1"/>
      <c r="D249" s="1"/>
      <c r="E249" s="1"/>
      <c r="F249" s="1"/>
      <c r="G249" s="1"/>
      <c r="I249" s="1"/>
      <c r="J249" s="1"/>
      <c r="K249" s="1"/>
      <c r="L249" s="1"/>
      <c r="M249" s="1"/>
      <c r="N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3:85">
      <c r="C250" s="1"/>
      <c r="D250" s="1"/>
      <c r="E250" s="1"/>
      <c r="F250" s="1"/>
      <c r="G250" s="1"/>
      <c r="I250" s="1"/>
      <c r="J250" s="1"/>
      <c r="K250" s="1"/>
      <c r="L250" s="1"/>
      <c r="M250" s="1"/>
      <c r="N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3:85">
      <c r="C251" s="1"/>
      <c r="D251" s="1"/>
      <c r="E251" s="1"/>
      <c r="F251" s="1"/>
      <c r="G251" s="1"/>
      <c r="I251" s="1"/>
      <c r="J251" s="1"/>
      <c r="K251" s="1"/>
      <c r="L251" s="1"/>
      <c r="M251" s="1"/>
      <c r="N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3:85">
      <c r="C252" s="1"/>
      <c r="D252" s="1"/>
      <c r="E252" s="1"/>
      <c r="F252" s="1"/>
      <c r="G252" s="1"/>
      <c r="I252" s="1"/>
      <c r="J252" s="1"/>
      <c r="K252" s="1"/>
      <c r="L252" s="1"/>
      <c r="M252" s="1"/>
      <c r="N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3:85">
      <c r="C253" s="1"/>
      <c r="D253" s="1"/>
      <c r="E253" s="1"/>
      <c r="F253" s="1"/>
      <c r="G253" s="1"/>
      <c r="I253" s="1"/>
      <c r="J253" s="1"/>
      <c r="K253" s="1"/>
      <c r="L253" s="1"/>
      <c r="M253" s="1"/>
      <c r="N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3:85">
      <c r="C254" s="1"/>
      <c r="D254" s="1"/>
      <c r="E254" s="1"/>
      <c r="F254" s="1"/>
      <c r="G254" s="1"/>
      <c r="I254" s="1"/>
      <c r="J254" s="1"/>
      <c r="K254" s="1"/>
      <c r="L254" s="1"/>
      <c r="M254" s="1"/>
      <c r="N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3:85">
      <c r="C255" s="1"/>
      <c r="D255" s="1"/>
      <c r="E255" s="1"/>
      <c r="F255" s="1"/>
      <c r="G255" s="1"/>
      <c r="I255" s="1"/>
      <c r="J255" s="1"/>
      <c r="K255" s="1"/>
      <c r="L255" s="1"/>
      <c r="M255" s="1"/>
      <c r="N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3:85">
      <c r="C256" s="1"/>
      <c r="D256" s="1"/>
      <c r="E256" s="1"/>
      <c r="F256" s="1"/>
      <c r="G256" s="1"/>
      <c r="I256" s="1"/>
      <c r="J256" s="1"/>
      <c r="K256" s="1"/>
      <c r="L256" s="1"/>
      <c r="M256" s="1"/>
      <c r="N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3:85">
      <c r="C257" s="1"/>
      <c r="D257" s="1"/>
      <c r="E257" s="1"/>
      <c r="F257" s="1"/>
      <c r="G257" s="1"/>
      <c r="I257" s="1"/>
      <c r="J257" s="1"/>
      <c r="K257" s="1"/>
      <c r="L257" s="1"/>
      <c r="M257" s="1"/>
      <c r="N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3:85">
      <c r="C258" s="1"/>
      <c r="D258" s="1"/>
      <c r="E258" s="1"/>
      <c r="F258" s="1"/>
      <c r="G258" s="1"/>
      <c r="I258" s="1"/>
      <c r="J258" s="1"/>
      <c r="K258" s="1"/>
      <c r="L258" s="1"/>
      <c r="M258" s="1"/>
      <c r="N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3:85">
      <c r="C259" s="1"/>
      <c r="D259" s="1"/>
      <c r="E259" s="1"/>
      <c r="F259" s="1"/>
      <c r="G259" s="1"/>
      <c r="I259" s="1"/>
      <c r="J259" s="1"/>
      <c r="K259" s="1"/>
      <c r="L259" s="1"/>
      <c r="M259" s="1"/>
      <c r="N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3:85">
      <c r="C260" s="1"/>
      <c r="D260" s="1"/>
      <c r="E260" s="1"/>
      <c r="F260" s="1"/>
      <c r="G260" s="1"/>
      <c r="I260" s="1"/>
      <c r="J260" s="1"/>
      <c r="K260" s="1"/>
      <c r="L260" s="1"/>
      <c r="M260" s="1"/>
      <c r="N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3:85">
      <c r="C261" s="1"/>
      <c r="D261" s="1"/>
      <c r="E261" s="1"/>
      <c r="F261" s="1"/>
      <c r="G261" s="1"/>
      <c r="I261" s="1"/>
      <c r="J261" s="1"/>
      <c r="K261" s="1"/>
      <c r="L261" s="1"/>
      <c r="M261" s="1"/>
      <c r="N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3:85">
      <c r="C262" s="1"/>
      <c r="D262" s="1"/>
      <c r="E262" s="1"/>
      <c r="F262" s="1"/>
      <c r="G262" s="1"/>
      <c r="I262" s="1"/>
      <c r="J262" s="1"/>
      <c r="K262" s="1"/>
      <c r="L262" s="1"/>
      <c r="M262" s="1"/>
      <c r="N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3:85">
      <c r="C263" s="1"/>
      <c r="D263" s="1"/>
      <c r="E263" s="1"/>
      <c r="F263" s="1"/>
      <c r="G263" s="1"/>
      <c r="I263" s="1"/>
      <c r="J263" s="1"/>
      <c r="K263" s="1"/>
      <c r="L263" s="1"/>
      <c r="M263" s="1"/>
      <c r="N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3:85">
      <c r="C264" s="1"/>
      <c r="D264" s="1"/>
      <c r="E264" s="1"/>
      <c r="F264" s="1"/>
      <c r="G264" s="1"/>
      <c r="I264" s="1"/>
      <c r="J264" s="1"/>
      <c r="K264" s="1"/>
      <c r="L264" s="1"/>
      <c r="M264" s="1"/>
      <c r="N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3:85">
      <c r="C265" s="1"/>
      <c r="D265" s="1"/>
      <c r="E265" s="1"/>
      <c r="F265" s="1"/>
      <c r="G265" s="1"/>
      <c r="I265" s="1"/>
      <c r="J265" s="1"/>
      <c r="K265" s="1"/>
      <c r="L265" s="1"/>
      <c r="M265" s="1"/>
      <c r="N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3:85">
      <c r="C266" s="1"/>
      <c r="D266" s="1"/>
      <c r="E266" s="1"/>
      <c r="F266" s="1"/>
      <c r="G266" s="1"/>
      <c r="I266" s="1"/>
      <c r="J266" s="1"/>
      <c r="K266" s="1"/>
      <c r="L266" s="1"/>
      <c r="M266" s="1"/>
      <c r="N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3:85">
      <c r="C267" s="1"/>
      <c r="D267" s="1"/>
      <c r="E267" s="1"/>
      <c r="F267" s="1"/>
      <c r="G267" s="1"/>
      <c r="I267" s="1"/>
      <c r="J267" s="1"/>
      <c r="K267" s="1"/>
      <c r="L267" s="1"/>
      <c r="M267" s="1"/>
      <c r="N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3:85">
      <c r="C268" s="1"/>
      <c r="D268" s="1"/>
      <c r="E268" s="1"/>
      <c r="F268" s="1"/>
      <c r="G268" s="1"/>
      <c r="I268" s="1"/>
      <c r="J268" s="1"/>
      <c r="K268" s="1"/>
      <c r="L268" s="1"/>
      <c r="M268" s="1"/>
      <c r="N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3:85">
      <c r="C269" s="1"/>
      <c r="D269" s="1"/>
      <c r="E269" s="1"/>
      <c r="F269" s="1"/>
      <c r="G269" s="1"/>
      <c r="I269" s="1"/>
      <c r="J269" s="1"/>
      <c r="K269" s="1"/>
      <c r="L269" s="1"/>
      <c r="M269" s="1"/>
      <c r="N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3:85">
      <c r="C270" s="1"/>
      <c r="D270" s="1"/>
      <c r="E270" s="1"/>
      <c r="F270" s="1"/>
      <c r="G270" s="1"/>
      <c r="I270" s="1"/>
      <c r="J270" s="1"/>
      <c r="K270" s="1"/>
      <c r="L270" s="1"/>
      <c r="M270" s="1"/>
      <c r="N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3:85">
      <c r="C271" s="1"/>
      <c r="D271" s="1"/>
      <c r="E271" s="1"/>
      <c r="F271" s="1"/>
      <c r="G271" s="1"/>
      <c r="I271" s="1"/>
      <c r="J271" s="1"/>
      <c r="K271" s="1"/>
      <c r="L271" s="1"/>
      <c r="M271" s="1"/>
      <c r="N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3:85">
      <c r="C272" s="1"/>
      <c r="D272" s="1"/>
      <c r="E272" s="1"/>
      <c r="F272" s="1"/>
      <c r="G272" s="1"/>
      <c r="I272" s="1"/>
      <c r="J272" s="1"/>
      <c r="K272" s="1"/>
      <c r="L272" s="1"/>
      <c r="M272" s="1"/>
      <c r="N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3:85">
      <c r="C273" s="1"/>
      <c r="D273" s="1"/>
      <c r="E273" s="1"/>
      <c r="F273" s="1"/>
      <c r="G273" s="1"/>
      <c r="I273" s="1"/>
      <c r="J273" s="1"/>
      <c r="K273" s="1"/>
      <c r="L273" s="1"/>
      <c r="M273" s="1"/>
      <c r="N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3:85">
      <c r="C274" s="1"/>
      <c r="D274" s="1"/>
      <c r="E274" s="1"/>
      <c r="F274" s="1"/>
      <c r="G274" s="1"/>
      <c r="I274" s="1"/>
      <c r="J274" s="1"/>
      <c r="K274" s="1"/>
      <c r="L274" s="1"/>
      <c r="M274" s="1"/>
      <c r="N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3:85">
      <c r="C275" s="1"/>
      <c r="D275" s="1"/>
      <c r="E275" s="1"/>
      <c r="F275" s="1"/>
      <c r="G275" s="1"/>
      <c r="I275" s="1"/>
      <c r="J275" s="1"/>
      <c r="K275" s="1"/>
      <c r="L275" s="1"/>
      <c r="M275" s="1"/>
      <c r="N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3:85">
      <c r="C276" s="1"/>
      <c r="D276" s="1"/>
      <c r="E276" s="1"/>
      <c r="F276" s="1"/>
      <c r="G276" s="1"/>
      <c r="I276" s="1"/>
      <c r="J276" s="1"/>
      <c r="K276" s="1"/>
      <c r="L276" s="1"/>
      <c r="M276" s="1"/>
      <c r="N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3:85">
      <c r="C277" s="1"/>
      <c r="D277" s="1"/>
      <c r="E277" s="1"/>
      <c r="F277" s="1"/>
      <c r="G277" s="1"/>
      <c r="I277" s="1"/>
      <c r="J277" s="1"/>
      <c r="K277" s="1"/>
      <c r="L277" s="1"/>
      <c r="M277" s="1"/>
      <c r="N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3:85">
      <c r="C278" s="1"/>
      <c r="D278" s="1"/>
      <c r="E278" s="1"/>
      <c r="F278" s="1"/>
      <c r="G278" s="1"/>
      <c r="I278" s="1"/>
      <c r="J278" s="1"/>
      <c r="K278" s="1"/>
      <c r="L278" s="1"/>
      <c r="M278" s="1"/>
      <c r="N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3:85">
      <c r="C279" s="1"/>
      <c r="D279" s="1"/>
      <c r="E279" s="1"/>
      <c r="F279" s="1"/>
      <c r="G279" s="1"/>
      <c r="I279" s="1"/>
      <c r="J279" s="1"/>
      <c r="K279" s="1"/>
      <c r="L279" s="1"/>
      <c r="M279" s="1"/>
      <c r="N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3:85">
      <c r="C280" s="1"/>
      <c r="D280" s="1"/>
      <c r="E280" s="1"/>
      <c r="F280" s="1"/>
      <c r="G280" s="1"/>
      <c r="I280" s="1"/>
      <c r="J280" s="1"/>
      <c r="K280" s="1"/>
      <c r="L280" s="1"/>
      <c r="M280" s="1"/>
      <c r="N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3:85">
      <c r="C281" s="1"/>
      <c r="D281" s="1"/>
      <c r="E281" s="1"/>
      <c r="F281" s="1"/>
      <c r="G281" s="1"/>
      <c r="I281" s="1"/>
      <c r="J281" s="1"/>
      <c r="K281" s="1"/>
      <c r="L281" s="1"/>
      <c r="M281" s="1"/>
      <c r="N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3:85">
      <c r="C282" s="1"/>
      <c r="D282" s="1"/>
      <c r="E282" s="1"/>
      <c r="F282" s="1"/>
      <c r="G282" s="1"/>
      <c r="I282" s="1"/>
      <c r="J282" s="1"/>
      <c r="K282" s="1"/>
      <c r="L282" s="1"/>
      <c r="M282" s="1"/>
      <c r="N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3:85">
      <c r="C283" s="1"/>
      <c r="D283" s="1"/>
      <c r="E283" s="1"/>
      <c r="F283" s="1"/>
      <c r="G283" s="1"/>
      <c r="I283" s="1"/>
      <c r="J283" s="1"/>
      <c r="K283" s="1"/>
      <c r="L283" s="1"/>
      <c r="M283" s="1"/>
      <c r="N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3:85">
      <c r="C284" s="1"/>
      <c r="D284" s="1"/>
      <c r="E284" s="1"/>
      <c r="F284" s="1"/>
      <c r="G284" s="1"/>
      <c r="I284" s="1"/>
      <c r="J284" s="1"/>
      <c r="K284" s="1"/>
      <c r="L284" s="1"/>
      <c r="M284" s="1"/>
      <c r="N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3:85">
      <c r="C285" s="1"/>
      <c r="D285" s="1"/>
      <c r="E285" s="1"/>
      <c r="F285" s="1"/>
      <c r="G285" s="1"/>
      <c r="I285" s="1"/>
      <c r="J285" s="1"/>
      <c r="K285" s="1"/>
      <c r="L285" s="1"/>
      <c r="M285" s="1"/>
      <c r="N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3:85">
      <c r="C286" s="1"/>
      <c r="D286" s="1"/>
      <c r="E286" s="1"/>
      <c r="F286" s="1"/>
      <c r="G286" s="1"/>
      <c r="I286" s="1"/>
      <c r="J286" s="1"/>
      <c r="K286" s="1"/>
      <c r="L286" s="1"/>
      <c r="M286" s="1"/>
      <c r="N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3:85">
      <c r="C287" s="1"/>
      <c r="D287" s="1"/>
      <c r="E287" s="1"/>
      <c r="F287" s="1"/>
      <c r="G287" s="1"/>
      <c r="I287" s="1"/>
      <c r="J287" s="1"/>
      <c r="K287" s="1"/>
      <c r="L287" s="1"/>
      <c r="M287" s="1"/>
      <c r="N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3:85">
      <c r="C288" s="1"/>
      <c r="D288" s="1"/>
      <c r="E288" s="1"/>
      <c r="F288" s="1"/>
      <c r="G288" s="1"/>
      <c r="I288" s="1"/>
      <c r="J288" s="1"/>
      <c r="K288" s="1"/>
      <c r="L288" s="1"/>
      <c r="M288" s="1"/>
      <c r="N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3:85">
      <c r="C289" s="1"/>
      <c r="D289" s="1"/>
      <c r="E289" s="1"/>
      <c r="F289" s="1"/>
      <c r="G289" s="1"/>
      <c r="I289" s="1"/>
      <c r="J289" s="1"/>
      <c r="K289" s="1"/>
      <c r="L289" s="1"/>
      <c r="M289" s="1"/>
      <c r="N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3:85"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3:85"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3:85"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3:85"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3:85"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3:85"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3:85"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3:85"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3:85"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3:85"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3:85"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3:85"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3:85"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3:85"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3:85"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3:85"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3:85"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3:85"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3:85"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3:85"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3:85"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3:85"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3:85"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3:85"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</sheetData>
  <dataConsolidate/>
  <mergeCells count="1">
    <mergeCell ref="A1:V1"/>
  </mergeCells>
  <phoneticPr fontId="6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7000-F5B9-4B46-9452-BE531666EABA}">
  <dimension ref="A1:R6"/>
  <sheetViews>
    <sheetView tabSelected="1" topLeftCell="F1" zoomScale="79" zoomScaleNormal="79" workbookViewId="0">
      <selection activeCell="R16" sqref="R16"/>
    </sheetView>
  </sheetViews>
  <sheetFormatPr baseColWidth="10" defaultRowHeight="14.4"/>
  <cols>
    <col min="2" max="2" width="18.77734375" customWidth="1"/>
    <col min="3" max="3" width="20.5546875" customWidth="1"/>
    <col min="4" max="4" width="22.5546875" customWidth="1"/>
    <col min="5" max="5" width="19.6640625" customWidth="1"/>
    <col min="6" max="6" width="18.109375" customWidth="1"/>
    <col min="7" max="7" width="19.21875" customWidth="1"/>
    <col min="8" max="8" width="20.109375" style="4" customWidth="1"/>
    <col min="9" max="9" width="16.6640625" customWidth="1"/>
    <col min="11" max="11" width="23" customWidth="1"/>
    <col min="12" max="12" width="18" customWidth="1"/>
    <col min="13" max="13" width="20.5546875" customWidth="1"/>
    <col min="14" max="14" width="17.88671875" customWidth="1"/>
    <col min="15" max="15" width="16.109375" customWidth="1"/>
    <col min="17" max="17" width="13.44140625" customWidth="1"/>
    <col min="18" max="18" width="16.5546875" customWidth="1"/>
    <col min="19" max="19" width="11.5546875" customWidth="1"/>
  </cols>
  <sheetData>
    <row r="1" spans="1:18" ht="26.4" customHeight="1">
      <c r="A1" s="10" t="s">
        <v>0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16</v>
      </c>
      <c r="H1" s="44" t="s">
        <v>43</v>
      </c>
      <c r="I1" s="45" t="s">
        <v>44</v>
      </c>
      <c r="J1" s="33" t="s">
        <v>2</v>
      </c>
      <c r="K1" s="33" t="s">
        <v>45</v>
      </c>
      <c r="L1" s="47" t="s">
        <v>46</v>
      </c>
      <c r="M1" s="47" t="s">
        <v>47</v>
      </c>
      <c r="N1" s="48" t="s">
        <v>48</v>
      </c>
      <c r="P1" s="10" t="s">
        <v>0</v>
      </c>
      <c r="Q1" s="10" t="s">
        <v>52</v>
      </c>
      <c r="R1" s="10" t="s">
        <v>53</v>
      </c>
    </row>
    <row r="2" spans="1:18">
      <c r="A2" s="31">
        <v>2023</v>
      </c>
      <c r="B2" s="50">
        <v>37134132</v>
      </c>
      <c r="C2" s="50">
        <v>37489630</v>
      </c>
      <c r="D2" s="50">
        <v>35530538</v>
      </c>
      <c r="E2" s="50">
        <v>87635634</v>
      </c>
      <c r="F2" s="50">
        <v>73020168</v>
      </c>
      <c r="G2" s="50">
        <v>14615467</v>
      </c>
      <c r="H2" s="51">
        <f>B2/C2</f>
        <v>0.99051743108694323</v>
      </c>
      <c r="I2" s="51">
        <f t="shared" ref="I2:I4" si="0">B2*0.9  / C2</f>
        <v>0.89146568797824899</v>
      </c>
      <c r="J2" s="52">
        <f>F2/G2</f>
        <v>4.9960885957321786</v>
      </c>
      <c r="K2" s="53">
        <f t="shared" ref="K2:K4" si="1">F2/E2</f>
        <v>0.83322462184731838</v>
      </c>
      <c r="L2" s="54">
        <f>B2-C2</f>
        <v>-355498</v>
      </c>
      <c r="M2" s="54">
        <f>'Tabla Maestra '!F3/'Tabla Maestra '!K3</f>
        <v>0.60513186225175319</v>
      </c>
      <c r="N2" s="55">
        <f t="shared" ref="N2:N4" si="2">0.11*(1/(1+J2))+0.0925*(1-0.25)*(J2/(1+J2))</f>
        <v>7.6150250123708227E-2</v>
      </c>
      <c r="P2" s="31">
        <v>2023</v>
      </c>
      <c r="Q2" s="57">
        <f>F2/(F2+G2)</f>
        <v>0.83322461233948952</v>
      </c>
      <c r="R2" s="57">
        <f>G2/(F2+G2)</f>
        <v>0.16677538766051048</v>
      </c>
    </row>
    <row r="3" spans="1:18">
      <c r="A3" s="31">
        <v>2024</v>
      </c>
      <c r="B3" s="50">
        <v>50456351</v>
      </c>
      <c r="C3" s="50">
        <v>31477334</v>
      </c>
      <c r="D3" s="50">
        <v>54896554</v>
      </c>
      <c r="E3" s="50">
        <v>100109385</v>
      </c>
      <c r="F3" s="50">
        <v>86373888</v>
      </c>
      <c r="G3" s="50">
        <v>13735498</v>
      </c>
      <c r="H3" s="51">
        <f t="shared" ref="H3:H4" si="3">B3/C3</f>
        <v>1.6029423266913265</v>
      </c>
      <c r="I3" s="51">
        <f t="shared" si="0"/>
        <v>1.4426480940221937</v>
      </c>
      <c r="J3" s="52">
        <f>F3/G3</f>
        <v>6.2883695953361141</v>
      </c>
      <c r="K3" s="53">
        <f t="shared" si="1"/>
        <v>0.86279511156721223</v>
      </c>
      <c r="L3" s="54">
        <f t="shared" ref="L3:L4" si="4">B3-C3</f>
        <v>18979017</v>
      </c>
      <c r="M3" s="54">
        <f>'Tabla Maestra '!F4/'Tabla Maestra '!K4</f>
        <v>1.0681633242170425</v>
      </c>
      <c r="N3" s="55">
        <f t="shared" si="2"/>
        <v>7.4948948942709523E-2</v>
      </c>
      <c r="P3" s="31">
        <v>2024</v>
      </c>
      <c r="Q3" s="57">
        <f>F3/(F3+G3)</f>
        <v>0.86279510294868855</v>
      </c>
      <c r="R3" s="57">
        <f>G3/(F3+G3)</f>
        <v>0.13720489705131145</v>
      </c>
    </row>
    <row r="4" spans="1:18">
      <c r="A4" s="56" t="s">
        <v>42</v>
      </c>
      <c r="B4" s="50">
        <v>52000000</v>
      </c>
      <c r="C4" s="50">
        <v>38000000</v>
      </c>
      <c r="D4" s="50">
        <v>84801110</v>
      </c>
      <c r="E4" s="50">
        <v>152543200</v>
      </c>
      <c r="F4" s="50">
        <v>122801110</v>
      </c>
      <c r="G4" s="50">
        <v>29742068</v>
      </c>
      <c r="H4" s="51">
        <f t="shared" si="3"/>
        <v>1.368421052631579</v>
      </c>
      <c r="I4" s="51">
        <f t="shared" si="0"/>
        <v>1.2315789473684211</v>
      </c>
      <c r="J4" s="52">
        <f>F4/G4</f>
        <v>4.1288692501140138</v>
      </c>
      <c r="K4" s="53">
        <f t="shared" si="1"/>
        <v>0.80502513386371866</v>
      </c>
      <c r="L4" s="54">
        <f t="shared" si="4"/>
        <v>14000000</v>
      </c>
      <c r="M4" s="54">
        <f>'Tabla Maestra '!F5/'Tabla Maestra '!K5</f>
        <v>1.1444565976687062</v>
      </c>
      <c r="N4" s="55">
        <f t="shared" si="2"/>
        <v>7.7295849220146692E-2</v>
      </c>
      <c r="P4" s="56">
        <v>2025</v>
      </c>
      <c r="Q4" s="57">
        <f>F4/(F4+G4)</f>
        <v>0.80502524996561953</v>
      </c>
      <c r="R4" s="57">
        <f>G4/(F4+G4)</f>
        <v>0.19497475003438042</v>
      </c>
    </row>
    <row r="5" spans="1:18">
      <c r="A5" s="11"/>
      <c r="B5" s="43"/>
      <c r="C5" s="43"/>
      <c r="D5" s="43"/>
      <c r="E5" s="43"/>
      <c r="F5" s="43"/>
      <c r="G5" s="43"/>
      <c r="H5" s="46"/>
    </row>
    <row r="6" spans="1:18">
      <c r="H6" s="46"/>
    </row>
  </sheetData>
  <phoneticPr fontId="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F0E7-B36C-4C21-A07F-14F288A34374}">
  <sheetPr codeName="Hoja2">
    <tabColor theme="1" tint="4.9989318521683403E-2"/>
  </sheetPr>
  <dimension ref="A1:R22"/>
  <sheetViews>
    <sheetView zoomScale="99" zoomScaleNormal="99" workbookViewId="0">
      <selection activeCell="L3" sqref="L3"/>
    </sheetView>
  </sheetViews>
  <sheetFormatPr baseColWidth="10" defaultRowHeight="14.4"/>
  <cols>
    <col min="1" max="1" width="17" customWidth="1"/>
    <col min="2" max="2" width="16.21875" customWidth="1"/>
    <col min="7" max="7" width="16.88671875" customWidth="1"/>
    <col min="8" max="8" width="18.44140625" customWidth="1"/>
    <col min="9" max="9" width="19.88671875" customWidth="1"/>
    <col min="12" max="12" width="15.5546875" customWidth="1"/>
    <col min="13" max="14" width="13.6640625" bestFit="1" customWidth="1"/>
    <col min="15" max="15" width="18.6640625" customWidth="1"/>
    <col min="16" max="16" width="18.33203125" customWidth="1"/>
    <col min="17" max="17" width="19.44140625" style="14" customWidth="1"/>
    <col min="18" max="18" width="19.88671875" style="14" customWidth="1"/>
  </cols>
  <sheetData>
    <row r="1" spans="1:18" ht="21">
      <c r="A1" s="59"/>
      <c r="B1" s="59"/>
      <c r="C1" s="59"/>
      <c r="D1" s="59"/>
      <c r="F1" s="61" t="s">
        <v>35</v>
      </c>
      <c r="G1" s="61"/>
      <c r="H1" s="61"/>
      <c r="I1" s="61"/>
      <c r="K1" s="60" t="s">
        <v>34</v>
      </c>
      <c r="L1" s="60"/>
      <c r="M1" s="60"/>
      <c r="N1" s="60"/>
      <c r="O1" s="60"/>
      <c r="P1" s="60"/>
      <c r="Q1" s="60"/>
      <c r="R1" s="60"/>
    </row>
    <row r="2" spans="1:18" ht="18">
      <c r="A2" s="29" t="s">
        <v>22</v>
      </c>
      <c r="B2" s="30" t="s">
        <v>23</v>
      </c>
      <c r="C2" s="29" t="s">
        <v>24</v>
      </c>
      <c r="D2" s="29" t="s">
        <v>25</v>
      </c>
      <c r="F2" s="10" t="s">
        <v>26</v>
      </c>
      <c r="G2" s="33" t="s">
        <v>27</v>
      </c>
      <c r="H2" s="33" t="s">
        <v>28</v>
      </c>
      <c r="I2" s="33" t="s">
        <v>29</v>
      </c>
      <c r="K2" s="10" t="s">
        <v>26</v>
      </c>
      <c r="L2" s="10" t="s">
        <v>23</v>
      </c>
      <c r="M2" s="10" t="s">
        <v>24</v>
      </c>
      <c r="N2" s="10" t="s">
        <v>25</v>
      </c>
      <c r="O2" s="10" t="s">
        <v>30</v>
      </c>
      <c r="P2" s="10" t="s">
        <v>31</v>
      </c>
      <c r="Q2" s="33" t="s">
        <v>32</v>
      </c>
      <c r="R2" s="33" t="s">
        <v>33</v>
      </c>
    </row>
    <row r="3" spans="1:18" ht="28.8">
      <c r="A3" s="32" t="s">
        <v>17</v>
      </c>
      <c r="B3" s="22">
        <f>'Tabla Maestra '!B3</f>
        <v>31436023</v>
      </c>
      <c r="C3" s="22">
        <f>'Tabla Maestra '!B4</f>
        <v>38710988</v>
      </c>
      <c r="D3" s="22">
        <f>'Tabla Maestra '!B5</f>
        <v>44517636.199999996</v>
      </c>
      <c r="F3" s="31" t="s">
        <v>17</v>
      </c>
      <c r="G3" s="34">
        <f>B3/B3</f>
        <v>1</v>
      </c>
      <c r="H3" s="34">
        <f>C3/C3</f>
        <v>1</v>
      </c>
      <c r="I3" s="34">
        <f>D4/D4</f>
        <v>1</v>
      </c>
      <c r="K3" s="12" t="s">
        <v>17</v>
      </c>
      <c r="L3" s="40">
        <f t="shared" ref="L3:N8" si="0">B3</f>
        <v>31436023</v>
      </c>
      <c r="M3" s="40">
        <f t="shared" si="0"/>
        <v>38710988</v>
      </c>
      <c r="N3" s="40">
        <f t="shared" si="0"/>
        <v>44517636.199999996</v>
      </c>
      <c r="O3" s="40">
        <f t="shared" ref="O3:P8" si="1">C3-B3</f>
        <v>7274965</v>
      </c>
      <c r="P3" s="40">
        <f t="shared" si="1"/>
        <v>5806648.1999999955</v>
      </c>
      <c r="Q3" s="15">
        <f t="shared" ref="Q3:R8" si="2">(C3-B3)/B3</f>
        <v>0.23142129015492832</v>
      </c>
      <c r="R3" s="38">
        <f t="shared" si="2"/>
        <v>0.14999999999999988</v>
      </c>
    </row>
    <row r="4" spans="1:18" ht="28.8">
      <c r="A4" s="32" t="s">
        <v>18</v>
      </c>
      <c r="B4" s="22">
        <f>'Tabla Maestra '!C3</f>
        <v>13042200</v>
      </c>
      <c r="C4" s="22">
        <f>'Tabla Maestra '!C4</f>
        <v>16060442.750458606</v>
      </c>
      <c r="D4" s="22">
        <f>'Tabla Maestra '!C5</f>
        <v>17801745</v>
      </c>
      <c r="F4" s="31" t="s">
        <v>18</v>
      </c>
      <c r="G4" s="24">
        <f>B4/B3</f>
        <v>0.4148807245751156</v>
      </c>
      <c r="H4" s="35">
        <f>C4/C3</f>
        <v>0.4148807245751156</v>
      </c>
      <c r="I4" s="35">
        <f>D4/D3</f>
        <v>0.39988073311044314</v>
      </c>
      <c r="K4" s="12" t="s">
        <v>18</v>
      </c>
      <c r="L4" s="40">
        <f t="shared" si="0"/>
        <v>13042200</v>
      </c>
      <c r="M4" s="40">
        <f t="shared" si="0"/>
        <v>16060442.750458606</v>
      </c>
      <c r="N4" s="40">
        <f t="shared" si="0"/>
        <v>17801745</v>
      </c>
      <c r="O4" s="40">
        <f t="shared" si="1"/>
        <v>3018242.7504586056</v>
      </c>
      <c r="P4" s="40">
        <f t="shared" si="1"/>
        <v>1741302.2495413944</v>
      </c>
      <c r="Q4" s="15">
        <f t="shared" si="2"/>
        <v>0.23142129015492827</v>
      </c>
      <c r="R4" s="38">
        <f t="shared" si="2"/>
        <v>0.10842180857633402</v>
      </c>
    </row>
    <row r="5" spans="1:18" ht="28.8">
      <c r="A5" s="32" t="s">
        <v>19</v>
      </c>
      <c r="B5" s="22">
        <f>'Tabla Maestra '!D3</f>
        <v>18393823</v>
      </c>
      <c r="C5" s="22">
        <f>'Tabla Maestra '!D4</f>
        <v>22650545.249541394</v>
      </c>
      <c r="D5" s="22">
        <f>'Tabla Maestra '!D5</f>
        <v>26715892</v>
      </c>
      <c r="F5" s="31" t="s">
        <v>19</v>
      </c>
      <c r="G5" s="35">
        <f>B5/B3</f>
        <v>0.5851192754248844</v>
      </c>
      <c r="H5" s="35">
        <f>C5/C3</f>
        <v>0.5851192754248844</v>
      </c>
      <c r="I5" s="35">
        <f>D5/D3</f>
        <v>0.60011928485996302</v>
      </c>
      <c r="K5" s="12" t="s">
        <v>19</v>
      </c>
      <c r="L5" s="40">
        <f t="shared" si="0"/>
        <v>18393823</v>
      </c>
      <c r="M5" s="40">
        <f>C5</f>
        <v>22650545.249541394</v>
      </c>
      <c r="N5" s="40">
        <f t="shared" si="0"/>
        <v>26715892</v>
      </c>
      <c r="O5" s="40">
        <f t="shared" si="1"/>
        <v>4256722.2495413944</v>
      </c>
      <c r="P5" s="40">
        <f t="shared" si="1"/>
        <v>4065346.7504586056</v>
      </c>
      <c r="Q5" s="15">
        <f t="shared" si="2"/>
        <v>0.23142129015492835</v>
      </c>
      <c r="R5" s="38">
        <f t="shared" si="2"/>
        <v>0.17948118712687133</v>
      </c>
    </row>
    <row r="6" spans="1:18">
      <c r="A6" s="32" t="s">
        <v>15</v>
      </c>
      <c r="B6" s="22">
        <f>'Tabla Maestra '!E3</f>
        <v>11221761</v>
      </c>
      <c r="C6" s="22">
        <f>'Tabla Maestra '!E4</f>
        <v>13818715.408430258</v>
      </c>
      <c r="D6" s="22">
        <f>'Tabla Maestra '!E5</f>
        <v>16559287</v>
      </c>
      <c r="F6" s="31" t="s">
        <v>15</v>
      </c>
      <c r="G6" s="35">
        <f>B6/B3</f>
        <v>0.35697139552290058</v>
      </c>
      <c r="H6" s="35">
        <f>C6/C3</f>
        <v>0.35697139552290058</v>
      </c>
      <c r="I6" s="35">
        <f>D6/D3</f>
        <v>0.37197138962198539</v>
      </c>
      <c r="K6" s="12" t="s">
        <v>15</v>
      </c>
      <c r="L6" s="40">
        <f t="shared" si="0"/>
        <v>11221761</v>
      </c>
      <c r="M6" s="40">
        <f t="shared" si="0"/>
        <v>13818715.408430258</v>
      </c>
      <c r="N6" s="40">
        <f t="shared" si="0"/>
        <v>16559287</v>
      </c>
      <c r="O6" s="40">
        <f t="shared" si="1"/>
        <v>2596954.4084302578</v>
      </c>
      <c r="P6" s="40">
        <f t="shared" si="1"/>
        <v>2740571.5915697422</v>
      </c>
      <c r="Q6" s="15">
        <f t="shared" si="2"/>
        <v>0.23142129015492824</v>
      </c>
      <c r="R6" s="38">
        <f t="shared" si="2"/>
        <v>0.19832318059736773</v>
      </c>
    </row>
    <row r="7" spans="1:18">
      <c r="A7" s="32" t="s">
        <v>20</v>
      </c>
      <c r="B7" s="22">
        <f>'Tabla Maestra '!F3</f>
        <v>6406528</v>
      </c>
      <c r="C7" s="22">
        <f>'Tabla Maestra '!F4</f>
        <v>11200000</v>
      </c>
      <c r="D7" s="22">
        <f>'Tabla Maestra '!F5</f>
        <v>13000000</v>
      </c>
      <c r="F7" s="31" t="s">
        <v>20</v>
      </c>
      <c r="G7" s="35">
        <f>B7/B3</f>
        <v>0.20379575368041944</v>
      </c>
      <c r="H7" s="35">
        <f>C7/C3</f>
        <v>0.2893235378027551</v>
      </c>
      <c r="I7" s="35">
        <f>D7/D3</f>
        <v>0.29201909871396092</v>
      </c>
      <c r="K7" s="12" t="s">
        <v>20</v>
      </c>
      <c r="L7" s="40">
        <f t="shared" si="0"/>
        <v>6406528</v>
      </c>
      <c r="M7" s="40">
        <f t="shared" si="0"/>
        <v>11200000</v>
      </c>
      <c r="N7" s="40">
        <f t="shared" si="0"/>
        <v>13000000</v>
      </c>
      <c r="O7" s="40">
        <f t="shared" si="1"/>
        <v>4793472</v>
      </c>
      <c r="P7" s="40">
        <f t="shared" si="1"/>
        <v>1800000</v>
      </c>
      <c r="Q7" s="15">
        <f t="shared" si="2"/>
        <v>0.74821681884477831</v>
      </c>
      <c r="R7" s="38">
        <f t="shared" si="2"/>
        <v>0.16071428571428573</v>
      </c>
    </row>
    <row r="8" spans="1:18" ht="28.8">
      <c r="A8" s="32" t="s">
        <v>21</v>
      </c>
      <c r="B8" s="22">
        <f>'Tabla Maestra '!G3</f>
        <v>1036253</v>
      </c>
      <c r="C8" s="22">
        <f>'Tabla Maestra '!G4</f>
        <v>1276064</v>
      </c>
      <c r="D8" s="22">
        <f>'Tabla Maestra '!G5</f>
        <v>1912650</v>
      </c>
      <c r="F8" s="31" t="s">
        <v>21</v>
      </c>
      <c r="G8" s="35">
        <f>B8/B3</f>
        <v>3.2963870779710268E-2</v>
      </c>
      <c r="H8" s="35">
        <f>C8/C3</f>
        <v>3.2963870619887044E-2</v>
      </c>
      <c r="I8" s="35">
        <f>D8/D3</f>
        <v>4.2963871473481338E-2</v>
      </c>
      <c r="K8" s="12" t="s">
        <v>21</v>
      </c>
      <c r="L8" s="40">
        <f t="shared" si="0"/>
        <v>1036253</v>
      </c>
      <c r="M8" s="40">
        <f t="shared" si="0"/>
        <v>1276064</v>
      </c>
      <c r="N8" s="40">
        <f>D8</f>
        <v>1912650</v>
      </c>
      <c r="O8" s="40">
        <f t="shared" si="1"/>
        <v>239811</v>
      </c>
      <c r="P8" s="40">
        <f t="shared" si="1"/>
        <v>636586</v>
      </c>
      <c r="Q8" s="15">
        <f t="shared" si="2"/>
        <v>0.23142128418446076</v>
      </c>
      <c r="R8" s="38">
        <f t="shared" si="2"/>
        <v>0.49886682799608795</v>
      </c>
    </row>
    <row r="10" spans="1:18" ht="4.2" customHeight="1"/>
    <row r="11" spans="1:18" ht="45.6" customHeight="1">
      <c r="A11" s="10"/>
      <c r="B11" s="8"/>
      <c r="C11" s="8"/>
      <c r="D11" s="8"/>
      <c r="E11" s="8"/>
      <c r="F11" s="10" t="s">
        <v>0</v>
      </c>
      <c r="G11" s="10" t="s">
        <v>49</v>
      </c>
      <c r="H11" s="10" t="s">
        <v>50</v>
      </c>
      <c r="I11" s="10" t="s">
        <v>51</v>
      </c>
    </row>
    <row r="12" spans="1:18" ht="17.399999999999999" customHeight="1">
      <c r="F12" s="31">
        <v>2023</v>
      </c>
      <c r="G12" s="57">
        <f>G5/G3</f>
        <v>0.5851192754248844</v>
      </c>
      <c r="H12" s="57">
        <f>G7/G3</f>
        <v>0.20379575368041944</v>
      </c>
      <c r="I12" s="57">
        <f>G8/G3</f>
        <v>3.2963870779710268E-2</v>
      </c>
    </row>
    <row r="13" spans="1:18" ht="20.399999999999999" customHeight="1">
      <c r="F13" s="31">
        <v>2024</v>
      </c>
      <c r="G13" s="57">
        <f>H5/H3</f>
        <v>0.5851192754248844</v>
      </c>
      <c r="H13" s="57">
        <f>H7/H3</f>
        <v>0.2893235378027551</v>
      </c>
      <c r="I13" s="57">
        <f>H8/H3</f>
        <v>3.2963870619887044E-2</v>
      </c>
    </row>
    <row r="14" spans="1:18" ht="25.2" customHeight="1">
      <c r="A14" s="10"/>
      <c r="B14" s="10"/>
      <c r="C14" s="10"/>
      <c r="D14" s="10"/>
      <c r="F14" s="56" t="s">
        <v>42</v>
      </c>
      <c r="G14" s="57">
        <f>I5/I3</f>
        <v>0.60011928485996302</v>
      </c>
      <c r="H14" s="57">
        <f>I7/I3</f>
        <v>0.29201909871396092</v>
      </c>
      <c r="I14" s="57">
        <f>I8/I3</f>
        <v>4.2963871473481338E-2</v>
      </c>
    </row>
    <row r="15" spans="1:18" ht="21.6" customHeight="1">
      <c r="A15" s="11"/>
      <c r="B15" s="19"/>
      <c r="C15" s="19"/>
      <c r="D15" s="19"/>
    </row>
    <row r="16" spans="1:18">
      <c r="A16" s="11"/>
      <c r="B16" s="19"/>
      <c r="C16" s="19"/>
      <c r="D16" s="10"/>
      <c r="E16" s="10"/>
      <c r="F16" s="10"/>
      <c r="G16" s="10"/>
    </row>
    <row r="17" spans="1:7">
      <c r="A17" s="11"/>
      <c r="B17" s="19"/>
      <c r="C17" s="19"/>
      <c r="D17" s="11"/>
      <c r="E17" s="19"/>
      <c r="F17" s="19"/>
      <c r="G17" s="19"/>
    </row>
    <row r="18" spans="1:7">
      <c r="A18" s="11"/>
      <c r="B18" s="19"/>
      <c r="C18" s="19"/>
      <c r="D18" s="11"/>
      <c r="E18" s="19"/>
      <c r="F18" s="19"/>
      <c r="G18" s="19"/>
    </row>
    <row r="19" spans="1:7">
      <c r="A19" s="11"/>
      <c r="B19" s="19"/>
      <c r="C19" s="19"/>
      <c r="D19" s="11"/>
      <c r="E19" s="19"/>
      <c r="F19" s="19"/>
      <c r="G19" s="19"/>
    </row>
    <row r="20" spans="1:7">
      <c r="A20" s="11"/>
      <c r="B20" s="19"/>
      <c r="C20" s="19"/>
      <c r="D20" s="11"/>
      <c r="E20" s="19"/>
      <c r="F20" s="19"/>
      <c r="G20" s="19"/>
    </row>
    <row r="21" spans="1:7">
      <c r="D21" s="11"/>
      <c r="E21" s="19"/>
      <c r="F21" s="19"/>
      <c r="G21" s="19"/>
    </row>
    <row r="22" spans="1:7">
      <c r="D22" s="11"/>
      <c r="E22" s="19"/>
      <c r="F22" s="19"/>
      <c r="G22" s="19"/>
    </row>
  </sheetData>
  <mergeCells count="3">
    <mergeCell ref="K1:R1"/>
    <mergeCell ref="F1:I1"/>
    <mergeCell ref="A1:D1"/>
  </mergeCells>
  <conditionalFormatting sqref="O3:O8">
    <cfRule type="dataBar" priority="8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{BC1450B0-9283-47EE-A3E7-75FEC1477349}</x14:id>
        </ext>
      </extLst>
    </cfRule>
  </conditionalFormatting>
  <conditionalFormatting sqref="P3:R8">
    <cfRule type="dataBar" priority="7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{38F2B433-D7FA-4F88-A31D-949E57CF1525}</x14:id>
        </ext>
      </extLst>
    </cfRule>
  </conditionalFormatting>
  <conditionalFormatting sqref="Q3:Q8">
    <cfRule type="colorScale" priority="3">
      <colorScale>
        <cfvo type="num" val="0"/>
        <cfvo type="num" val="0.2"/>
        <cfvo type="num" val="0.5"/>
        <color rgb="FFC00000"/>
        <color theme="7" tint="0.39997558519241921"/>
        <color theme="9" tint="-0.249977111117893"/>
      </colorScale>
    </cfRule>
    <cfRule type="dataBar" priority="5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{17EF6E3A-7C0C-4D8A-ACE5-898591732DE3}</x14:id>
        </ext>
      </extLst>
    </cfRule>
    <cfRule type="dataBar" priority="6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{D64C77A6-4445-42CB-98A8-E5B5F16784C2}</x14:id>
        </ext>
      </extLst>
    </cfRule>
  </conditionalFormatting>
  <conditionalFormatting sqref="R3:R8">
    <cfRule type="colorScale" priority="1">
      <colorScale>
        <cfvo type="num" val="0"/>
        <cfvo type="num" val="0.15"/>
        <cfvo type="num" val="0.4"/>
        <color rgb="FFF8696B"/>
        <color rgb="FFFFEB84"/>
        <color rgb="FF63BE7B"/>
      </colorScale>
    </cfRule>
    <cfRule type="colorScale" priority="2">
      <colorScale>
        <cfvo type="num" val="0"/>
        <cfvo type="num" val="0.2"/>
        <cfvo type="num" val="0.5"/>
        <color rgb="FFC00000"/>
        <color theme="7" tint="0.39997558519241921"/>
        <color theme="9" tint="-0.249977111117893"/>
      </colorScale>
    </cfRule>
    <cfRule type="dataBar" priority="4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{A9446C0D-6B2A-47C0-BBC5-8A28E7A474EB}</x14:id>
        </ext>
      </extLst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1450B0-9283-47EE-A3E7-75FEC1477349}">
            <x14:dataBar minLength="0" maxLength="100" gradient="0">
              <x14:cfvo type="min"/>
              <x14:cfvo type="max"/>
              <x14:negativeFillColor rgb="FFC00000"/>
              <x14:axisColor rgb="FF000000"/>
            </x14:dataBar>
          </x14:cfRule>
          <xm:sqref>O3:O8</xm:sqref>
        </x14:conditionalFormatting>
        <x14:conditionalFormatting xmlns:xm="http://schemas.microsoft.com/office/excel/2006/main">
          <x14:cfRule type="dataBar" id="{38F2B433-D7FA-4F88-A31D-949E57CF152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P3:R8</xm:sqref>
        </x14:conditionalFormatting>
        <x14:conditionalFormatting xmlns:xm="http://schemas.microsoft.com/office/excel/2006/main">
          <x14:cfRule type="dataBar" id="{17EF6E3A-7C0C-4D8A-ACE5-898591732DE3}">
            <x14:dataBar minLength="0" maxLength="100" gradient="0">
              <x14:cfvo type="min"/>
              <x14:cfvo type="max"/>
              <x14:negativeFillColor rgb="FFC00000"/>
              <x14:axisColor rgb="FFC00000"/>
            </x14:dataBar>
          </x14:cfRule>
          <x14:cfRule type="dataBar" id="{D64C77A6-4445-42CB-98A8-E5B5F16784C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Q3:Q8</xm:sqref>
        </x14:conditionalFormatting>
        <x14:conditionalFormatting xmlns:xm="http://schemas.microsoft.com/office/excel/2006/main">
          <x14:cfRule type="dataBar" id="{A9446C0D-6B2A-47C0-BBC5-8A28E7A474EB}">
            <x14:dataBar minLength="0" maxLength="100" gradient="0">
              <x14:cfvo type="min"/>
              <x14:cfvo type="max"/>
              <x14:negativeFillColor rgb="FFFF0000"/>
              <x14:axisColor rgb="FFFF0000"/>
            </x14:dataBar>
          </x14:cfRule>
          <xm:sqref>R3:R8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E4F4-089B-4FB2-812E-F300970423F6}">
  <sheetPr>
    <tabColor theme="5" tint="-0.499984740745262"/>
  </sheetPr>
  <dimension ref="A1:E19"/>
  <sheetViews>
    <sheetView workbookViewId="0">
      <selection activeCell="C11" sqref="C11"/>
    </sheetView>
  </sheetViews>
  <sheetFormatPr baseColWidth="10" defaultRowHeight="14.4"/>
  <cols>
    <col min="2" max="2" width="11.5546875" style="39"/>
    <col min="3" max="3" width="18.88671875" style="37" customWidth="1"/>
  </cols>
  <sheetData>
    <row r="1" spans="1:5">
      <c r="A1" s="10" t="s">
        <v>26</v>
      </c>
      <c r="B1" s="10" t="s">
        <v>0</v>
      </c>
      <c r="C1" s="41" t="s">
        <v>36</v>
      </c>
    </row>
    <row r="2" spans="1:5" ht="28.8">
      <c r="A2" s="11" t="s">
        <v>17</v>
      </c>
      <c r="B2" s="9">
        <v>2023</v>
      </c>
      <c r="C2" s="42">
        <v>31436023</v>
      </c>
    </row>
    <row r="3" spans="1:5" ht="28.8">
      <c r="A3" s="11" t="s">
        <v>17</v>
      </c>
      <c r="B3" s="9">
        <v>2024</v>
      </c>
      <c r="C3" s="42">
        <v>38710988</v>
      </c>
      <c r="E3" s="36"/>
    </row>
    <row r="4" spans="1:5" ht="28.8">
      <c r="A4" s="11" t="s">
        <v>17</v>
      </c>
      <c r="B4" s="9">
        <v>2025</v>
      </c>
      <c r="C4" s="42">
        <v>44517636</v>
      </c>
    </row>
    <row r="5" spans="1:5" ht="28.8">
      <c r="A5" s="11" t="s">
        <v>18</v>
      </c>
      <c r="B5" s="9">
        <v>2023</v>
      </c>
      <c r="C5" s="42">
        <v>13042200</v>
      </c>
    </row>
    <row r="6" spans="1:5" ht="28.8">
      <c r="A6" s="11" t="s">
        <v>18</v>
      </c>
      <c r="B6" s="9">
        <v>2024</v>
      </c>
      <c r="C6" s="42">
        <v>16060443</v>
      </c>
    </row>
    <row r="7" spans="1:5" ht="28.8">
      <c r="A7" s="11" t="s">
        <v>18</v>
      </c>
      <c r="B7" s="9">
        <v>2025</v>
      </c>
      <c r="C7" s="42">
        <v>17801745</v>
      </c>
    </row>
    <row r="8" spans="1:5" ht="28.8">
      <c r="A8" s="11" t="s">
        <v>19</v>
      </c>
      <c r="B8" s="9">
        <v>2023</v>
      </c>
      <c r="C8" s="42">
        <v>18393823</v>
      </c>
    </row>
    <row r="9" spans="1:5" ht="28.8">
      <c r="A9" s="11" t="s">
        <v>19</v>
      </c>
      <c r="B9" s="9">
        <v>2024</v>
      </c>
      <c r="C9" s="42">
        <v>22650545</v>
      </c>
    </row>
    <row r="10" spans="1:5" ht="28.8">
      <c r="A10" s="11" t="s">
        <v>19</v>
      </c>
      <c r="B10" s="9">
        <v>2025</v>
      </c>
      <c r="C10" s="42">
        <v>26715892</v>
      </c>
    </row>
    <row r="11" spans="1:5">
      <c r="A11" s="11" t="s">
        <v>15</v>
      </c>
      <c r="B11" s="9">
        <v>2023</v>
      </c>
      <c r="C11" s="42">
        <v>11221761</v>
      </c>
    </row>
    <row r="12" spans="1:5">
      <c r="A12" s="11" t="s">
        <v>15</v>
      </c>
      <c r="B12" s="9">
        <v>2024</v>
      </c>
      <c r="C12" s="42">
        <v>13818715</v>
      </c>
    </row>
    <row r="13" spans="1:5">
      <c r="A13" s="11" t="s">
        <v>15</v>
      </c>
      <c r="B13" s="9">
        <v>2025</v>
      </c>
      <c r="C13" s="42">
        <v>16559287</v>
      </c>
    </row>
    <row r="14" spans="1:5">
      <c r="A14" s="11" t="s">
        <v>20</v>
      </c>
      <c r="B14" s="9">
        <v>2023</v>
      </c>
      <c r="C14" s="42">
        <v>6406528</v>
      </c>
    </row>
    <row r="15" spans="1:5">
      <c r="A15" s="11" t="s">
        <v>20</v>
      </c>
      <c r="B15" s="9">
        <v>2024</v>
      </c>
      <c r="C15" s="42">
        <v>11200000</v>
      </c>
    </row>
    <row r="16" spans="1:5">
      <c r="A16" s="11" t="s">
        <v>20</v>
      </c>
      <c r="B16" s="9">
        <v>2025</v>
      </c>
      <c r="C16" s="42">
        <v>13000000</v>
      </c>
    </row>
    <row r="17" spans="1:3" ht="28.8">
      <c r="A17" s="11" t="s">
        <v>21</v>
      </c>
      <c r="B17" s="9">
        <v>2023</v>
      </c>
      <c r="C17" s="42">
        <v>1036253</v>
      </c>
    </row>
    <row r="18" spans="1:3" ht="28.8">
      <c r="A18" s="11" t="s">
        <v>21</v>
      </c>
      <c r="B18" s="9">
        <v>2024</v>
      </c>
      <c r="C18" s="42">
        <v>1276064</v>
      </c>
    </row>
    <row r="19" spans="1:3" ht="28.8">
      <c r="A19" s="11" t="s">
        <v>21</v>
      </c>
      <c r="B19" s="9">
        <v>2025</v>
      </c>
      <c r="C19" s="42">
        <v>1912650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A4562-72C2-48BD-96E6-4C8A8C3130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tm</vt:lpstr>
      <vt:lpstr>Tabla Maestra </vt:lpstr>
      <vt:lpstr>Ratios</vt:lpstr>
      <vt:lpstr>Analisis Verical-Horizontal </vt:lpstr>
      <vt:lpstr>base de datos</vt:lpstr>
      <vt:lpstr>Tabla_Maestra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ameth espinosa</dc:creator>
  <cp:lastModifiedBy>ameth espinosa</cp:lastModifiedBy>
  <dcterms:created xsi:type="dcterms:W3CDTF">2025-10-08T00:54:07Z</dcterms:created>
  <dcterms:modified xsi:type="dcterms:W3CDTF">2025-11-29T01:08:20Z</dcterms:modified>
</cp:coreProperties>
</file>