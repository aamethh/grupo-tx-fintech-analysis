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th\Desktop\"/>
    </mc:Choice>
  </mc:AlternateContent>
  <xr:revisionPtr revIDLastSave="0" documentId="13_ncr:1_{3825FCC3-3FA8-4D5A-8A1B-B40ED5EE1B92}" xr6:coauthVersionLast="45" xr6:coauthVersionMax="45" xr10:uidLastSave="{00000000-0000-0000-0000-000000000000}"/>
  <bookViews>
    <workbookView xWindow="-108" yWindow="-108" windowWidth="23256" windowHeight="13176" xr2:uid="{A3CB8D07-4289-438E-A1F1-5EA32D95DF3B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G3" i="1" s="1"/>
  <c r="B4" i="1"/>
  <c r="B5" i="1" s="1"/>
  <c r="F5" i="1" s="1"/>
  <c r="F4" i="1" l="1"/>
  <c r="H3" i="1"/>
  <c r="H4" i="1" s="1"/>
  <c r="C4" i="1"/>
  <c r="D4" i="1" s="1"/>
  <c r="G4" i="1"/>
  <c r="G5" i="1"/>
  <c r="C5" i="1" s="1"/>
  <c r="E4" i="1"/>
  <c r="H5" i="1"/>
  <c r="E5" i="1" s="1"/>
  <c r="D5" i="1" l="1"/>
</calcChain>
</file>

<file path=xl/sharedStrings.xml><?xml version="1.0" encoding="utf-8"?>
<sst xmlns="http://schemas.openxmlformats.org/spreadsheetml/2006/main" count="9" uniqueCount="9">
  <si>
    <t>Margenes finacieros 2023 -2025</t>
  </si>
  <si>
    <t>Año</t>
  </si>
  <si>
    <t>Utilidad Neta (USD)</t>
  </si>
  <si>
    <t xml:space="preserve">    Utilidad bruta(USD)</t>
  </si>
  <si>
    <t xml:space="preserve">         EBITDA(USD)</t>
  </si>
  <si>
    <t xml:space="preserve">     Margen bruto %</t>
  </si>
  <si>
    <t xml:space="preserve">  Costo de ventas (USD) </t>
  </si>
  <si>
    <t xml:space="preserve">     Ingresos totales(USD)  </t>
  </si>
  <si>
    <t xml:space="preserve">          Margen EBITDA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</si>
</sst>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3" fontId="0" fillId="0" borderId="0" xfId="1" applyNumberFormat="1" applyFont="1"/>
    <xf numFmtId="3" fontId="2" fillId="0" borderId="0" xfId="0" applyNumberFormat="1" applyFont="1"/>
    <xf numFmtId="164" fontId="0" fillId="0" borderId="0" xfId="0" applyNumberFormat="1"/>
    <xf numFmtId="0" fontId="0" fillId="0" borderId="0" xfId="0" applyNumberFormat="1"/>
    <xf numFmtId="164" fontId="2" fillId="0" borderId="0" xfId="0" applyNumberFormat="1" applyFont="1"/>
    <xf numFmtId="0" fontId="2" fillId="0" borderId="0" xfId="0" applyNumberFormat="1" applyFont="1" applyBorder="1" applyAlignment="1">
      <alignment horizontal="left" indent="2"/>
    </xf>
    <xf numFmtId="0" fontId="2" fillId="0" borderId="1" xfId="0" applyNumberFormat="1" applyFont="1" applyBorder="1" applyAlignment="1">
      <alignment horizontal="left" indent="2"/>
    </xf>
    <xf numFmtId="3" fontId="3" fillId="2" borderId="2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"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2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D637C-13A9-472A-A1BE-DAAC16FAD9F5}" name="Tabla1" displayName="Tabla1" ref="A2:H5" totalsRowShown="0" headerRowDxfId="5" tableBorderDxfId="4">
  <autoFilter ref="A2:H5" xr:uid="{89AC6247-503D-4756-8DCF-C1270FBFD2F2}"/>
  <tableColumns count="8">
    <tableColumn id="1" xr3:uid="{0D55EE8C-E18B-4FC9-9002-5B59E474E837}" name="Año" dataDxfId="3"/>
    <tableColumn id="3" xr3:uid="{FC53EC58-3FC2-4B61-9391-8FE05D63377B}" name="     Ingresos totales(USD)  "/>
    <tableColumn id="4" xr3:uid="{7DD41B8F-1142-4E53-B690-C1D1252A93A3}" name="  Costo de ventas (USD) " dataDxfId="6"/>
    <tableColumn id="5" xr3:uid="{D05809BC-DA51-45CE-81CA-411654B20298}" name="    Utilidad bruta(USD)" dataDxfId="2"/>
    <tableColumn id="6" xr3:uid="{D6B7F5D2-C9C0-40EA-AD85-8EA34836BE43}" name="         EBITDA(USD)" dataDxfId="1"/>
    <tableColumn id="7" xr3:uid="{69226B6B-C844-4359-A593-397991CD43B4}" name="Utilidad Neta (USD)" dataDxfId="0"/>
    <tableColumn id="8" xr3:uid="{02BD6621-6830-4AA4-8FB6-A7FB604D3CE2}" name="     Margen bruto %"/>
    <tableColumn id="9" xr3:uid="{098F1204-BAE5-4EA3-8A55-5080BC99611C}" name="          Margen EBITDA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93E0-9889-4B30-B85F-CC9D7DE8646E}">
  <dimension ref="A1:CG317"/>
  <sheetViews>
    <sheetView tabSelected="1" zoomScaleNormal="100" workbookViewId="0">
      <selection activeCell="C14" sqref="C14"/>
    </sheetView>
  </sheetViews>
  <sheetFormatPr baseColWidth="10" defaultRowHeight="14.4" x14ac:dyDescent="0.3"/>
  <cols>
    <col min="1" max="1" width="11.5546875" style="6"/>
    <col min="2" max="2" width="25.109375" style="6" customWidth="1"/>
    <col min="3" max="3" width="23.77734375" customWidth="1"/>
    <col min="4" max="4" width="24" customWidth="1"/>
    <col min="5" max="5" width="22.88671875" customWidth="1"/>
    <col min="6" max="6" width="22.109375" customWidth="1"/>
    <col min="7" max="7" width="21" customWidth="1"/>
    <col min="8" max="8" width="26.6640625" style="5" customWidth="1"/>
    <col min="9" max="9" width="14.77734375" customWidth="1"/>
  </cols>
  <sheetData>
    <row r="1" spans="1:85" ht="21" x14ac:dyDescent="0.4">
      <c r="A1" s="11" t="s">
        <v>0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15.6" x14ac:dyDescent="0.3">
      <c r="A2" s="8" t="s">
        <v>1</v>
      </c>
      <c r="B2" s="4" t="s">
        <v>7</v>
      </c>
      <c r="C2" s="4" t="s">
        <v>6</v>
      </c>
      <c r="D2" s="4" t="s">
        <v>3</v>
      </c>
      <c r="E2" s="4" t="s">
        <v>4</v>
      </c>
      <c r="F2" s="4" t="s">
        <v>2</v>
      </c>
      <c r="G2" s="7" t="s">
        <v>5</v>
      </c>
      <c r="H2" s="7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5" ht="15.6" x14ac:dyDescent="0.3">
      <c r="A3" s="8">
        <v>2023</v>
      </c>
      <c r="B3" s="1">
        <v>31436023</v>
      </c>
      <c r="C3" s="1">
        <v>13042200</v>
      </c>
      <c r="D3" s="1">
        <f>B3-C3</f>
        <v>18393823</v>
      </c>
      <c r="E3" s="1">
        <v>11221761</v>
      </c>
      <c r="F3" s="1">
        <v>1036253</v>
      </c>
      <c r="G3" s="2">
        <f>D3/B3</f>
        <v>0.5851192754248844</v>
      </c>
      <c r="H3" s="2">
        <f>E3/B3</f>
        <v>0.35697139552290058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5" ht="15.6" x14ac:dyDescent="0.3">
      <c r="A4" s="8">
        <v>2024</v>
      </c>
      <c r="B4" s="3">
        <f>9677747*4</f>
        <v>38710988</v>
      </c>
      <c r="C4" s="1">
        <f>B4*(C3/B3)</f>
        <v>16060442.750458606</v>
      </c>
      <c r="D4" s="1">
        <f>B4-C4</f>
        <v>22650545.249541394</v>
      </c>
      <c r="E4" s="1">
        <f>B4*(E3/B3)</f>
        <v>13818715.408430258</v>
      </c>
      <c r="F4" s="1">
        <f>B4*(F3/B3)</f>
        <v>1276064.0061869149</v>
      </c>
      <c r="G4" s="5">
        <f>G$3+0.005</f>
        <v>0.5901192754248844</v>
      </c>
      <c r="H4" s="5">
        <f>H$3+0.008</f>
        <v>0.36497139552290059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5" ht="16.2" thickBot="1" x14ac:dyDescent="0.35">
      <c r="A5" s="9">
        <v>2025</v>
      </c>
      <c r="B5" s="1">
        <f>B4*1.15</f>
        <v>44517636.199999996</v>
      </c>
      <c r="C5" s="1">
        <f>B5*(1- G5)</f>
        <v>17801744.620027393</v>
      </c>
      <c r="D5" s="1">
        <f>B5*G5</f>
        <v>26715891.579972602</v>
      </c>
      <c r="E5" s="1">
        <f>B5*H5</f>
        <v>16559287.262694797</v>
      </c>
      <c r="F5" s="1">
        <f>B5*((F3/B3)+0.01)</f>
        <v>1912649.969114952</v>
      </c>
      <c r="G5" s="5">
        <f>G$3+0.015</f>
        <v>0.60011927542488441</v>
      </c>
      <c r="H5" s="5">
        <f>H$3+0.015</f>
        <v>0.37197139552290059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5" x14ac:dyDescent="0.3">
      <c r="C6" s="1"/>
      <c r="D6" s="1"/>
      <c r="E6" s="1"/>
      <c r="F6" s="1"/>
      <c r="G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 x14ac:dyDescent="0.3">
      <c r="C7" s="1"/>
      <c r="D7" s="1"/>
      <c r="E7" s="1"/>
      <c r="F7" s="1"/>
      <c r="G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 x14ac:dyDescent="0.3">
      <c r="C8" s="1"/>
      <c r="D8" s="1"/>
      <c r="E8" s="1"/>
      <c r="F8" s="1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">
      <c r="C9" s="1"/>
      <c r="D9" s="1"/>
      <c r="E9" s="1"/>
      <c r="F9" s="1"/>
      <c r="G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 x14ac:dyDescent="0.3">
      <c r="C10" s="1"/>
      <c r="D10" s="1"/>
      <c r="E10" s="1"/>
      <c r="F10" s="1"/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x14ac:dyDescent="0.3">
      <c r="C11" s="1"/>
      <c r="D11" s="1"/>
      <c r="E11" s="1"/>
      <c r="F11" s="1"/>
      <c r="G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">
      <c r="C12" s="1"/>
      <c r="D12" s="1"/>
      <c r="E12" s="1"/>
      <c r="F12" s="1"/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x14ac:dyDescent="0.3">
      <c r="C13" s="1"/>
      <c r="D13" s="1"/>
      <c r="E13" s="1"/>
      <c r="F13" s="1"/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x14ac:dyDescent="0.3">
      <c r="C14" s="1"/>
      <c r="D14" s="1"/>
      <c r="E14" s="1"/>
      <c r="F14" s="1"/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x14ac:dyDescent="0.3">
      <c r="C15" s="1"/>
      <c r="D15" s="1"/>
      <c r="E15" s="1"/>
      <c r="F15" s="1"/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 x14ac:dyDescent="0.3">
      <c r="C16" s="1"/>
      <c r="D16" s="1"/>
      <c r="E16" s="1"/>
      <c r="F16" s="1"/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3:85" x14ac:dyDescent="0.3">
      <c r="C17" s="1"/>
      <c r="D17" s="1"/>
      <c r="E17" s="1"/>
      <c r="F17" s="1"/>
      <c r="G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3:85" x14ac:dyDescent="0.3">
      <c r="C18" s="1"/>
      <c r="D18" s="1"/>
      <c r="E18" s="1"/>
      <c r="F18" s="1"/>
      <c r="G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3:85" x14ac:dyDescent="0.3">
      <c r="C19" s="1"/>
      <c r="D19" s="1"/>
      <c r="E19" s="1"/>
      <c r="F19" s="1"/>
      <c r="G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3:85" x14ac:dyDescent="0.3">
      <c r="C20" s="1"/>
      <c r="D20" s="1"/>
      <c r="E20" s="1"/>
      <c r="F20" s="1"/>
      <c r="G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3:85" x14ac:dyDescent="0.3">
      <c r="C21" s="1"/>
      <c r="D21" s="1"/>
      <c r="E21" s="1"/>
      <c r="F21" s="1"/>
      <c r="G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3:85" x14ac:dyDescent="0.3">
      <c r="C22" s="1"/>
      <c r="D22" s="1"/>
      <c r="E22" s="1"/>
      <c r="F22" s="1"/>
      <c r="G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3:85" x14ac:dyDescent="0.3">
      <c r="C23" s="1"/>
      <c r="D23" s="1"/>
      <c r="E23" s="1"/>
      <c r="F23" s="1"/>
      <c r="G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3:85" x14ac:dyDescent="0.3">
      <c r="C24" s="1"/>
      <c r="D24" s="1"/>
      <c r="E24" s="1"/>
      <c r="F24" s="1"/>
      <c r="G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3:85" x14ac:dyDescent="0.3">
      <c r="C25" s="1"/>
      <c r="D25" s="1"/>
      <c r="E25" s="1"/>
      <c r="F25" s="1"/>
      <c r="G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3:85" x14ac:dyDescent="0.3">
      <c r="C26" s="1"/>
      <c r="D26" s="1"/>
      <c r="E26" s="1"/>
      <c r="F26" s="1"/>
      <c r="G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3:85" x14ac:dyDescent="0.3">
      <c r="C27" s="1"/>
      <c r="D27" s="1"/>
      <c r="E27" s="1"/>
      <c r="F27" s="1"/>
      <c r="G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3:85" x14ac:dyDescent="0.3">
      <c r="C28" s="1"/>
      <c r="D28" s="1"/>
      <c r="E28" s="1"/>
      <c r="F28" s="1"/>
      <c r="G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3:85" x14ac:dyDescent="0.3">
      <c r="C29" s="1"/>
      <c r="D29" s="1"/>
      <c r="E29" s="1"/>
      <c r="F29" s="1"/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3:85" x14ac:dyDescent="0.3">
      <c r="C30" s="1"/>
      <c r="D30" s="1"/>
      <c r="E30" s="1"/>
      <c r="F30" s="1"/>
      <c r="G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3:85" x14ac:dyDescent="0.3">
      <c r="C31" s="1"/>
      <c r="D31" s="1"/>
      <c r="E31" s="1"/>
      <c r="F31" s="1"/>
      <c r="G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3:85" x14ac:dyDescent="0.3">
      <c r="C32" s="1"/>
      <c r="D32" s="1"/>
      <c r="E32" s="1"/>
      <c r="F32" s="1"/>
      <c r="G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3:85" x14ac:dyDescent="0.3">
      <c r="C33" s="1"/>
      <c r="D33" s="1"/>
      <c r="E33" s="1"/>
      <c r="F33" s="1"/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3:85" x14ac:dyDescent="0.3">
      <c r="C34" s="1"/>
      <c r="D34" s="1"/>
      <c r="E34" s="1"/>
      <c r="F34" s="1"/>
      <c r="G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3:85" x14ac:dyDescent="0.3">
      <c r="C35" s="1"/>
      <c r="D35" s="1"/>
      <c r="E35" s="1"/>
      <c r="F35" s="1"/>
      <c r="G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3:85" x14ac:dyDescent="0.3">
      <c r="C36" s="1"/>
      <c r="D36" s="1"/>
      <c r="E36" s="1"/>
      <c r="F36" s="1"/>
      <c r="G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3:85" x14ac:dyDescent="0.3">
      <c r="C37" s="1"/>
      <c r="D37" s="1"/>
      <c r="E37" s="1"/>
      <c r="F37" s="1"/>
      <c r="G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3:85" x14ac:dyDescent="0.3">
      <c r="C38" s="1"/>
      <c r="D38" s="1"/>
      <c r="E38" s="1"/>
      <c r="F38" s="1"/>
      <c r="G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3:85" x14ac:dyDescent="0.3">
      <c r="C39" s="1"/>
      <c r="D39" s="1"/>
      <c r="E39" s="1"/>
      <c r="F39" s="1"/>
      <c r="G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3:85" x14ac:dyDescent="0.3">
      <c r="C40" s="1"/>
      <c r="D40" s="1"/>
      <c r="E40" s="1"/>
      <c r="F40" s="1"/>
      <c r="G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3:85" x14ac:dyDescent="0.3">
      <c r="C41" s="1"/>
      <c r="D41" s="1"/>
      <c r="E41" s="1"/>
      <c r="F41" s="1"/>
      <c r="G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3:85" x14ac:dyDescent="0.3">
      <c r="C42" s="1"/>
      <c r="D42" s="1"/>
      <c r="E42" s="1"/>
      <c r="F42" s="1"/>
      <c r="G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3:85" x14ac:dyDescent="0.3">
      <c r="C43" s="1"/>
      <c r="D43" s="1"/>
      <c r="E43" s="1"/>
      <c r="F43" s="1"/>
      <c r="G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3:85" x14ac:dyDescent="0.3"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3:85" x14ac:dyDescent="0.3"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3:85" x14ac:dyDescent="0.3">
      <c r="C46" s="1"/>
      <c r="D46" s="1"/>
      <c r="E46" s="1"/>
      <c r="F46" s="1"/>
      <c r="G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3:85" x14ac:dyDescent="0.3">
      <c r="C47" s="1"/>
      <c r="D47" s="1"/>
      <c r="E47" s="1"/>
      <c r="F47" s="1"/>
      <c r="G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3:85" x14ac:dyDescent="0.3">
      <c r="C48" s="1"/>
      <c r="D48" s="1"/>
      <c r="E48" s="1"/>
      <c r="F48" s="1"/>
      <c r="G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3:85" x14ac:dyDescent="0.3">
      <c r="C49" s="1"/>
      <c r="D49" s="1"/>
      <c r="E49" s="1"/>
      <c r="F49" s="1"/>
      <c r="G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3:85" x14ac:dyDescent="0.3">
      <c r="C50" s="1"/>
      <c r="D50" s="1"/>
      <c r="E50" s="1"/>
      <c r="F50" s="1"/>
      <c r="G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3:85" x14ac:dyDescent="0.3">
      <c r="C51" s="1"/>
      <c r="D51" s="1"/>
      <c r="E51" s="1"/>
      <c r="F51" s="1"/>
      <c r="G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3:85" x14ac:dyDescent="0.3">
      <c r="C52" s="1"/>
      <c r="D52" s="1"/>
      <c r="E52" s="1"/>
      <c r="F52" s="1"/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3:85" x14ac:dyDescent="0.3">
      <c r="C53" s="1"/>
      <c r="D53" s="1"/>
      <c r="E53" s="1"/>
      <c r="F53" s="1"/>
      <c r="G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3:85" x14ac:dyDescent="0.3">
      <c r="C54" s="1"/>
      <c r="D54" s="1"/>
      <c r="E54" s="1"/>
      <c r="F54" s="1"/>
      <c r="G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3:85" x14ac:dyDescent="0.3">
      <c r="C55" s="1"/>
      <c r="D55" s="1"/>
      <c r="E55" s="1"/>
      <c r="F55" s="1"/>
      <c r="G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3:85" x14ac:dyDescent="0.3">
      <c r="C56" s="1"/>
      <c r="D56" s="1"/>
      <c r="E56" s="1"/>
      <c r="F56" s="1"/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3:85" x14ac:dyDescent="0.3">
      <c r="C57" s="1"/>
      <c r="D57" s="1"/>
      <c r="E57" s="1"/>
      <c r="F57" s="1"/>
      <c r="G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3:85" x14ac:dyDescent="0.3">
      <c r="C58" s="1"/>
      <c r="D58" s="1"/>
      <c r="E58" s="1"/>
      <c r="F58" s="1"/>
      <c r="G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3:85" x14ac:dyDescent="0.3">
      <c r="C59" s="1"/>
      <c r="D59" s="1"/>
      <c r="E59" s="1"/>
      <c r="F59" s="1"/>
      <c r="G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3:85" x14ac:dyDescent="0.3">
      <c r="C60" s="1"/>
      <c r="D60" s="1"/>
      <c r="E60" s="1"/>
      <c r="F60" s="1"/>
      <c r="G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3:85" x14ac:dyDescent="0.3">
      <c r="C61" s="1"/>
      <c r="D61" s="1"/>
      <c r="E61" s="1"/>
      <c r="F61" s="1"/>
      <c r="G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3:85" x14ac:dyDescent="0.3">
      <c r="C62" s="1"/>
      <c r="D62" s="1"/>
      <c r="E62" s="1"/>
      <c r="F62" s="1"/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3:85" x14ac:dyDescent="0.3">
      <c r="C63" s="1"/>
      <c r="D63" s="1"/>
      <c r="E63" s="1"/>
      <c r="F63" s="1"/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3:85" x14ac:dyDescent="0.3"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3:85" x14ac:dyDescent="0.3"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3:85" x14ac:dyDescent="0.3"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3:85" x14ac:dyDescent="0.3"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3:85" x14ac:dyDescent="0.3"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3:85" x14ac:dyDescent="0.3"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3:85" x14ac:dyDescent="0.3"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3:85" x14ac:dyDescent="0.3"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3:85" x14ac:dyDescent="0.3"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3:85" x14ac:dyDescent="0.3"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3:85" x14ac:dyDescent="0.3"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3:85" x14ac:dyDescent="0.3"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3:85" x14ac:dyDescent="0.3"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3:85" x14ac:dyDescent="0.3"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3:85" x14ac:dyDescent="0.3">
      <c r="C78" s="1"/>
      <c r="D78" s="1"/>
      <c r="E78" s="1"/>
      <c r="F78" s="1"/>
      <c r="G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3:85" x14ac:dyDescent="0.3">
      <c r="C79" s="1"/>
      <c r="D79" s="1"/>
      <c r="E79" s="1"/>
      <c r="F79" s="1"/>
      <c r="G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3:85" x14ac:dyDescent="0.3">
      <c r="C80" s="1"/>
      <c r="D80" s="1"/>
      <c r="E80" s="1"/>
      <c r="F80" s="1"/>
      <c r="G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3:85" x14ac:dyDescent="0.3">
      <c r="C81" s="1"/>
      <c r="D81" s="1"/>
      <c r="E81" s="1"/>
      <c r="F81" s="1"/>
      <c r="G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3:85" x14ac:dyDescent="0.3">
      <c r="C82" s="1"/>
      <c r="D82" s="1"/>
      <c r="E82" s="1"/>
      <c r="F82" s="1"/>
      <c r="G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3:85" x14ac:dyDescent="0.3">
      <c r="C83" s="1"/>
      <c r="D83" s="1"/>
      <c r="E83" s="1"/>
      <c r="F83" s="1"/>
      <c r="G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3:85" x14ac:dyDescent="0.3">
      <c r="C84" s="1"/>
      <c r="D84" s="1"/>
      <c r="E84" s="1"/>
      <c r="F84" s="1"/>
      <c r="G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3:85" x14ac:dyDescent="0.3">
      <c r="C85" s="1"/>
      <c r="D85" s="1"/>
      <c r="E85" s="1"/>
      <c r="F85" s="1"/>
      <c r="G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3:85" x14ac:dyDescent="0.3">
      <c r="C86" s="1"/>
      <c r="D86" s="1"/>
      <c r="E86" s="1"/>
      <c r="F86" s="1"/>
      <c r="G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3:85" x14ac:dyDescent="0.3">
      <c r="C87" s="1"/>
      <c r="D87" s="1"/>
      <c r="E87" s="1"/>
      <c r="F87" s="1"/>
      <c r="G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3:85" x14ac:dyDescent="0.3">
      <c r="C88" s="1"/>
      <c r="D88" s="1"/>
      <c r="E88" s="1"/>
      <c r="F88" s="1"/>
      <c r="G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3:85" x14ac:dyDescent="0.3"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3:85" x14ac:dyDescent="0.3">
      <c r="C90" s="1"/>
      <c r="D90" s="1"/>
      <c r="E90" s="1"/>
      <c r="F90" s="1"/>
      <c r="G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3:85" x14ac:dyDescent="0.3">
      <c r="C91" s="1"/>
      <c r="D91" s="1"/>
      <c r="E91" s="1"/>
      <c r="F91" s="1"/>
      <c r="G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3:85" x14ac:dyDescent="0.3">
      <c r="C92" s="1"/>
      <c r="D92" s="1"/>
      <c r="E92" s="1"/>
      <c r="F92" s="1"/>
      <c r="G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3:85" x14ac:dyDescent="0.3">
      <c r="C93" s="1"/>
      <c r="D93" s="1"/>
      <c r="E93" s="1"/>
      <c r="F93" s="1"/>
      <c r="G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3:85" x14ac:dyDescent="0.3">
      <c r="C94" s="1"/>
      <c r="D94" s="1"/>
      <c r="E94" s="1"/>
      <c r="F94" s="1"/>
      <c r="G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3:85" x14ac:dyDescent="0.3">
      <c r="C95" s="1"/>
      <c r="D95" s="1"/>
      <c r="E95" s="1"/>
      <c r="F95" s="1"/>
      <c r="G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3:85" x14ac:dyDescent="0.3">
      <c r="C96" s="1"/>
      <c r="D96" s="1"/>
      <c r="E96" s="1"/>
      <c r="F96" s="1"/>
      <c r="G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3:85" x14ac:dyDescent="0.3">
      <c r="C97" s="1"/>
      <c r="D97" s="1"/>
      <c r="E97" s="1"/>
      <c r="F97" s="1"/>
      <c r="G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3:85" x14ac:dyDescent="0.3">
      <c r="C98" s="1"/>
      <c r="D98" s="1"/>
      <c r="E98" s="1"/>
      <c r="F98" s="1"/>
      <c r="G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3:85" x14ac:dyDescent="0.3">
      <c r="C99" s="1"/>
      <c r="D99" s="1"/>
      <c r="E99" s="1"/>
      <c r="F99" s="1"/>
      <c r="G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3:85" x14ac:dyDescent="0.3">
      <c r="C100" s="1"/>
      <c r="D100" s="1"/>
      <c r="E100" s="1"/>
      <c r="F100" s="1"/>
      <c r="G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3:85" x14ac:dyDescent="0.3">
      <c r="C101" s="1"/>
      <c r="D101" s="1"/>
      <c r="E101" s="1"/>
      <c r="F101" s="1"/>
      <c r="G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3:85" x14ac:dyDescent="0.3">
      <c r="C102" s="1"/>
      <c r="D102" s="1"/>
      <c r="E102" s="1"/>
      <c r="F102" s="1"/>
      <c r="G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3:85" x14ac:dyDescent="0.3">
      <c r="C103" s="1"/>
      <c r="D103" s="1"/>
      <c r="E103" s="1"/>
      <c r="F103" s="1"/>
      <c r="G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3:85" x14ac:dyDescent="0.3">
      <c r="C104" s="1"/>
      <c r="D104" s="1"/>
      <c r="E104" s="1"/>
      <c r="F104" s="1"/>
      <c r="G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3:85" x14ac:dyDescent="0.3">
      <c r="C105" s="1"/>
      <c r="D105" s="1"/>
      <c r="E105" s="1"/>
      <c r="F105" s="1"/>
      <c r="G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3:85" x14ac:dyDescent="0.3">
      <c r="C106" s="1"/>
      <c r="D106" s="1"/>
      <c r="E106" s="1"/>
      <c r="F106" s="1"/>
      <c r="G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3:85" x14ac:dyDescent="0.3">
      <c r="C107" s="1"/>
      <c r="D107" s="1"/>
      <c r="E107" s="1"/>
      <c r="F107" s="1"/>
      <c r="G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3:85" x14ac:dyDescent="0.3">
      <c r="C108" s="1"/>
      <c r="D108" s="1"/>
      <c r="E108" s="1"/>
      <c r="F108" s="1"/>
      <c r="G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3:85" x14ac:dyDescent="0.3">
      <c r="C109" s="1"/>
      <c r="D109" s="1"/>
      <c r="E109" s="1"/>
      <c r="F109" s="1"/>
      <c r="G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3:85" x14ac:dyDescent="0.3">
      <c r="C110" s="1"/>
      <c r="D110" s="1"/>
      <c r="E110" s="1"/>
      <c r="F110" s="1"/>
      <c r="G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3:85" x14ac:dyDescent="0.3">
      <c r="C111" s="1"/>
      <c r="D111" s="1"/>
      <c r="E111" s="1"/>
      <c r="F111" s="1"/>
      <c r="G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3:85" x14ac:dyDescent="0.3">
      <c r="C112" s="1"/>
      <c r="D112" s="1"/>
      <c r="E112" s="1"/>
      <c r="F112" s="1"/>
      <c r="G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3:85" x14ac:dyDescent="0.3">
      <c r="C113" s="1"/>
      <c r="D113" s="1"/>
      <c r="E113" s="1"/>
      <c r="F113" s="1"/>
      <c r="G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3:85" x14ac:dyDescent="0.3">
      <c r="C114" s="1"/>
      <c r="D114" s="1"/>
      <c r="E114" s="1"/>
      <c r="F114" s="1"/>
      <c r="G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3:85" x14ac:dyDescent="0.3">
      <c r="C115" s="1"/>
      <c r="D115" s="1"/>
      <c r="E115" s="1"/>
      <c r="F115" s="1"/>
      <c r="G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3:85" x14ac:dyDescent="0.3">
      <c r="C116" s="1"/>
      <c r="D116" s="1"/>
      <c r="E116" s="1"/>
      <c r="F116" s="1"/>
      <c r="G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3:85" x14ac:dyDescent="0.3">
      <c r="C117" s="1"/>
      <c r="D117" s="1"/>
      <c r="E117" s="1"/>
      <c r="F117" s="1"/>
      <c r="G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3:85" x14ac:dyDescent="0.3">
      <c r="C118" s="1"/>
      <c r="D118" s="1"/>
      <c r="E118" s="1"/>
      <c r="F118" s="1"/>
      <c r="G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3:85" x14ac:dyDescent="0.3">
      <c r="C119" s="1"/>
      <c r="D119" s="1"/>
      <c r="E119" s="1"/>
      <c r="F119" s="1"/>
      <c r="G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3:85" x14ac:dyDescent="0.3">
      <c r="C120" s="1"/>
      <c r="D120" s="1"/>
      <c r="E120" s="1"/>
      <c r="F120" s="1"/>
      <c r="G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3:85" x14ac:dyDescent="0.3">
      <c r="C121" s="1"/>
      <c r="D121" s="1"/>
      <c r="E121" s="1"/>
      <c r="F121" s="1"/>
      <c r="G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3:85" x14ac:dyDescent="0.3">
      <c r="C122" s="1"/>
      <c r="D122" s="1"/>
      <c r="E122" s="1"/>
      <c r="F122" s="1"/>
      <c r="G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3:85" x14ac:dyDescent="0.3">
      <c r="C123" s="1"/>
      <c r="D123" s="1"/>
      <c r="E123" s="1"/>
      <c r="F123" s="1"/>
      <c r="G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3:85" x14ac:dyDescent="0.3">
      <c r="C124" s="1"/>
      <c r="D124" s="1"/>
      <c r="E124" s="1"/>
      <c r="F124" s="1"/>
      <c r="G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3:85" x14ac:dyDescent="0.3">
      <c r="C125" s="1"/>
      <c r="D125" s="1"/>
      <c r="E125" s="1"/>
      <c r="F125" s="1"/>
      <c r="G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3:85" x14ac:dyDescent="0.3">
      <c r="C126" s="1"/>
      <c r="D126" s="1"/>
      <c r="E126" s="1"/>
      <c r="F126" s="1"/>
      <c r="G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3:85" x14ac:dyDescent="0.3">
      <c r="C127" s="1"/>
      <c r="D127" s="1"/>
      <c r="E127" s="1"/>
      <c r="F127" s="1"/>
      <c r="G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3:85" x14ac:dyDescent="0.3">
      <c r="C128" s="1"/>
      <c r="D128" s="1"/>
      <c r="E128" s="1"/>
      <c r="F128" s="1"/>
      <c r="G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3:85" x14ac:dyDescent="0.3">
      <c r="C129" s="1"/>
      <c r="D129" s="1"/>
      <c r="E129" s="1"/>
      <c r="F129" s="1"/>
      <c r="G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3:85" x14ac:dyDescent="0.3">
      <c r="C130" s="1"/>
      <c r="D130" s="1"/>
      <c r="E130" s="1"/>
      <c r="F130" s="1"/>
      <c r="G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3:85" x14ac:dyDescent="0.3">
      <c r="C131" s="1"/>
      <c r="D131" s="1"/>
      <c r="E131" s="1"/>
      <c r="F131" s="1"/>
      <c r="G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3:85" x14ac:dyDescent="0.3">
      <c r="C132" s="1"/>
      <c r="D132" s="1"/>
      <c r="E132" s="1"/>
      <c r="F132" s="1"/>
      <c r="G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3:85" x14ac:dyDescent="0.3">
      <c r="C133" s="1"/>
      <c r="D133" s="1"/>
      <c r="E133" s="1"/>
      <c r="F133" s="1"/>
      <c r="G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3:85" x14ac:dyDescent="0.3">
      <c r="C134" s="1"/>
      <c r="D134" s="1"/>
      <c r="E134" s="1"/>
      <c r="F134" s="1"/>
      <c r="G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3:85" x14ac:dyDescent="0.3">
      <c r="C135" s="1"/>
      <c r="D135" s="1"/>
      <c r="E135" s="1"/>
      <c r="F135" s="1"/>
      <c r="G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3:85" x14ac:dyDescent="0.3">
      <c r="C136" s="1"/>
      <c r="D136" s="1"/>
      <c r="E136" s="1"/>
      <c r="F136" s="1"/>
      <c r="G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3:85" x14ac:dyDescent="0.3">
      <c r="C137" s="1"/>
      <c r="D137" s="1"/>
      <c r="E137" s="1"/>
      <c r="F137" s="1"/>
      <c r="G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3:85" x14ac:dyDescent="0.3">
      <c r="C138" s="1"/>
      <c r="D138" s="1"/>
      <c r="E138" s="1"/>
      <c r="F138" s="1"/>
      <c r="G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3:85" x14ac:dyDescent="0.3">
      <c r="C139" s="1"/>
      <c r="D139" s="1"/>
      <c r="E139" s="1"/>
      <c r="F139" s="1"/>
      <c r="G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3:85" x14ac:dyDescent="0.3">
      <c r="C140" s="1"/>
      <c r="D140" s="1"/>
      <c r="E140" s="1"/>
      <c r="F140" s="1"/>
      <c r="G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3:85" x14ac:dyDescent="0.3">
      <c r="C141" s="1"/>
      <c r="D141" s="1"/>
      <c r="E141" s="1"/>
      <c r="F141" s="1"/>
      <c r="G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3:85" x14ac:dyDescent="0.3">
      <c r="C142" s="1"/>
      <c r="D142" s="1"/>
      <c r="E142" s="1"/>
      <c r="F142" s="1"/>
      <c r="G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3:85" x14ac:dyDescent="0.3">
      <c r="C143" s="1"/>
      <c r="D143" s="1"/>
      <c r="E143" s="1"/>
      <c r="F143" s="1"/>
      <c r="G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3:85" x14ac:dyDescent="0.3">
      <c r="C144" s="1"/>
      <c r="D144" s="1"/>
      <c r="E144" s="1"/>
      <c r="F144" s="1"/>
      <c r="G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3:85" x14ac:dyDescent="0.3">
      <c r="C145" s="1"/>
      <c r="D145" s="1"/>
      <c r="E145" s="1"/>
      <c r="F145" s="1"/>
      <c r="G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3:85" x14ac:dyDescent="0.3">
      <c r="C146" s="1"/>
      <c r="D146" s="1"/>
      <c r="E146" s="1"/>
      <c r="F146" s="1"/>
      <c r="G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3:85" x14ac:dyDescent="0.3">
      <c r="C147" s="1"/>
      <c r="D147" s="1"/>
      <c r="E147" s="1"/>
      <c r="F147" s="1"/>
      <c r="G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3:85" x14ac:dyDescent="0.3">
      <c r="C148" s="1"/>
      <c r="D148" s="1"/>
      <c r="E148" s="1"/>
      <c r="F148" s="1"/>
      <c r="G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3:85" x14ac:dyDescent="0.3">
      <c r="C149" s="1"/>
      <c r="D149" s="1"/>
      <c r="E149" s="1"/>
      <c r="F149" s="1"/>
      <c r="G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3:85" x14ac:dyDescent="0.3">
      <c r="C150" s="1"/>
      <c r="D150" s="1"/>
      <c r="E150" s="1"/>
      <c r="F150" s="1"/>
      <c r="G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3:85" x14ac:dyDescent="0.3">
      <c r="C151" s="1"/>
      <c r="D151" s="1"/>
      <c r="E151" s="1"/>
      <c r="F151" s="1"/>
      <c r="G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3:85" x14ac:dyDescent="0.3">
      <c r="C152" s="1"/>
      <c r="D152" s="1"/>
      <c r="E152" s="1"/>
      <c r="F152" s="1"/>
      <c r="G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3:85" x14ac:dyDescent="0.3">
      <c r="C153" s="1"/>
      <c r="D153" s="1"/>
      <c r="E153" s="1"/>
      <c r="F153" s="1"/>
      <c r="G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3:85" x14ac:dyDescent="0.3">
      <c r="C154" s="1"/>
      <c r="D154" s="1"/>
      <c r="E154" s="1"/>
      <c r="F154" s="1"/>
      <c r="G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3:85" x14ac:dyDescent="0.3">
      <c r="C155" s="1"/>
      <c r="D155" s="1"/>
      <c r="E155" s="1"/>
      <c r="F155" s="1"/>
      <c r="G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3:85" x14ac:dyDescent="0.3">
      <c r="C156" s="1"/>
      <c r="D156" s="1"/>
      <c r="E156" s="1"/>
      <c r="F156" s="1"/>
      <c r="G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3:85" x14ac:dyDescent="0.3">
      <c r="C157" s="1"/>
      <c r="D157" s="1"/>
      <c r="E157" s="1"/>
      <c r="F157" s="1"/>
      <c r="G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3:85" x14ac:dyDescent="0.3">
      <c r="C158" s="1"/>
      <c r="D158" s="1"/>
      <c r="E158" s="1"/>
      <c r="F158" s="1"/>
      <c r="G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3:85" x14ac:dyDescent="0.3">
      <c r="C159" s="1"/>
      <c r="D159" s="1"/>
      <c r="E159" s="1"/>
      <c r="F159" s="1"/>
      <c r="G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3:85" x14ac:dyDescent="0.3">
      <c r="C160" s="1"/>
      <c r="D160" s="1"/>
      <c r="E160" s="1"/>
      <c r="F160" s="1"/>
      <c r="G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3:85" x14ac:dyDescent="0.3">
      <c r="C161" s="1"/>
      <c r="D161" s="1"/>
      <c r="E161" s="1"/>
      <c r="F161" s="1"/>
      <c r="G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3:85" x14ac:dyDescent="0.3">
      <c r="C162" s="1"/>
      <c r="D162" s="1"/>
      <c r="E162" s="1"/>
      <c r="F162" s="1"/>
      <c r="G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3:85" x14ac:dyDescent="0.3">
      <c r="C163" s="1"/>
      <c r="D163" s="1"/>
      <c r="E163" s="1"/>
      <c r="F163" s="1"/>
      <c r="G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3:85" x14ac:dyDescent="0.3">
      <c r="C164" s="1"/>
      <c r="D164" s="1"/>
      <c r="E164" s="1"/>
      <c r="F164" s="1"/>
      <c r="G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3:85" x14ac:dyDescent="0.3">
      <c r="C165" s="1"/>
      <c r="D165" s="1"/>
      <c r="E165" s="1"/>
      <c r="F165" s="1"/>
      <c r="G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3:85" x14ac:dyDescent="0.3">
      <c r="C166" s="1"/>
      <c r="D166" s="1"/>
      <c r="E166" s="1"/>
      <c r="F166" s="1"/>
      <c r="G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3:85" x14ac:dyDescent="0.3">
      <c r="C167" s="1"/>
      <c r="D167" s="1"/>
      <c r="E167" s="1"/>
      <c r="F167" s="1"/>
      <c r="G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3:85" x14ac:dyDescent="0.3">
      <c r="C168" s="1"/>
      <c r="D168" s="1"/>
      <c r="E168" s="1"/>
      <c r="F168" s="1"/>
      <c r="G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3:85" x14ac:dyDescent="0.3">
      <c r="C169" s="1"/>
      <c r="D169" s="1"/>
      <c r="E169" s="1"/>
      <c r="F169" s="1"/>
      <c r="G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3:85" x14ac:dyDescent="0.3">
      <c r="C170" s="1"/>
      <c r="D170" s="1"/>
      <c r="E170" s="1"/>
      <c r="F170" s="1"/>
      <c r="G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3:85" x14ac:dyDescent="0.3">
      <c r="C171" s="1"/>
      <c r="D171" s="1"/>
      <c r="E171" s="1"/>
      <c r="F171" s="1"/>
      <c r="G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3:85" x14ac:dyDescent="0.3">
      <c r="C172" s="1"/>
      <c r="D172" s="1"/>
      <c r="E172" s="1"/>
      <c r="F172" s="1"/>
      <c r="G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3:85" x14ac:dyDescent="0.3">
      <c r="C173" s="1"/>
      <c r="D173" s="1"/>
      <c r="E173" s="1"/>
      <c r="F173" s="1"/>
      <c r="G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3:85" x14ac:dyDescent="0.3">
      <c r="C174" s="1"/>
      <c r="D174" s="1"/>
      <c r="E174" s="1"/>
      <c r="F174" s="1"/>
      <c r="G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3:85" x14ac:dyDescent="0.3">
      <c r="C175" s="1"/>
      <c r="D175" s="1"/>
      <c r="E175" s="1"/>
      <c r="F175" s="1"/>
      <c r="G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3:85" x14ac:dyDescent="0.3">
      <c r="C176" s="1"/>
      <c r="D176" s="1"/>
      <c r="E176" s="1"/>
      <c r="F176" s="1"/>
      <c r="G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3:85" x14ac:dyDescent="0.3">
      <c r="C177" s="1"/>
      <c r="D177" s="1"/>
      <c r="E177" s="1"/>
      <c r="F177" s="1"/>
      <c r="G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3:85" x14ac:dyDescent="0.3">
      <c r="C178" s="1"/>
      <c r="D178" s="1"/>
      <c r="E178" s="1"/>
      <c r="F178" s="1"/>
      <c r="G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3:85" x14ac:dyDescent="0.3">
      <c r="C179" s="1"/>
      <c r="D179" s="1"/>
      <c r="E179" s="1"/>
      <c r="F179" s="1"/>
      <c r="G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3:85" x14ac:dyDescent="0.3">
      <c r="C180" s="1"/>
      <c r="D180" s="1"/>
      <c r="E180" s="1"/>
      <c r="F180" s="1"/>
      <c r="G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3:85" x14ac:dyDescent="0.3">
      <c r="C181" s="1"/>
      <c r="D181" s="1"/>
      <c r="E181" s="1"/>
      <c r="F181" s="1"/>
      <c r="G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3:85" x14ac:dyDescent="0.3">
      <c r="C182" s="1"/>
      <c r="D182" s="1"/>
      <c r="E182" s="1"/>
      <c r="F182" s="1"/>
      <c r="G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3:85" x14ac:dyDescent="0.3">
      <c r="C183" s="1"/>
      <c r="D183" s="1"/>
      <c r="E183" s="1"/>
      <c r="F183" s="1"/>
      <c r="G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3:85" x14ac:dyDescent="0.3">
      <c r="C184" s="1"/>
      <c r="D184" s="1"/>
      <c r="E184" s="1"/>
      <c r="F184" s="1"/>
      <c r="G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3:85" x14ac:dyDescent="0.3">
      <c r="C185" s="1"/>
      <c r="D185" s="1"/>
      <c r="E185" s="1"/>
      <c r="F185" s="1"/>
      <c r="G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3:85" x14ac:dyDescent="0.3">
      <c r="C186" s="1"/>
      <c r="D186" s="1"/>
      <c r="E186" s="1"/>
      <c r="F186" s="1"/>
      <c r="G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3:85" x14ac:dyDescent="0.3">
      <c r="C187" s="1"/>
      <c r="D187" s="1"/>
      <c r="E187" s="1"/>
      <c r="F187" s="1"/>
      <c r="G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3:85" x14ac:dyDescent="0.3">
      <c r="C188" s="1"/>
      <c r="D188" s="1"/>
      <c r="E188" s="1"/>
      <c r="F188" s="1"/>
      <c r="G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3:85" x14ac:dyDescent="0.3">
      <c r="C189" s="1"/>
      <c r="D189" s="1"/>
      <c r="E189" s="1"/>
      <c r="F189" s="1"/>
      <c r="G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3:85" x14ac:dyDescent="0.3">
      <c r="C190" s="1"/>
      <c r="D190" s="1"/>
      <c r="E190" s="1"/>
      <c r="F190" s="1"/>
      <c r="G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3:85" x14ac:dyDescent="0.3">
      <c r="C191" s="1"/>
      <c r="D191" s="1"/>
      <c r="E191" s="1"/>
      <c r="F191" s="1"/>
      <c r="G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3:85" x14ac:dyDescent="0.3">
      <c r="C192" s="1"/>
      <c r="D192" s="1"/>
      <c r="E192" s="1"/>
      <c r="F192" s="1"/>
      <c r="G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3:85" x14ac:dyDescent="0.3">
      <c r="C193" s="1"/>
      <c r="D193" s="1"/>
      <c r="E193" s="1"/>
      <c r="F193" s="1"/>
      <c r="G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3:85" x14ac:dyDescent="0.3">
      <c r="C194" s="1"/>
      <c r="D194" s="1"/>
      <c r="E194" s="1"/>
      <c r="F194" s="1"/>
      <c r="G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3:85" x14ac:dyDescent="0.3">
      <c r="C195" s="1"/>
      <c r="D195" s="1"/>
      <c r="E195" s="1"/>
      <c r="F195" s="1"/>
      <c r="G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3:85" x14ac:dyDescent="0.3">
      <c r="C196" s="1"/>
      <c r="D196" s="1"/>
      <c r="E196" s="1"/>
      <c r="F196" s="1"/>
      <c r="G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3:85" x14ac:dyDescent="0.3">
      <c r="C197" s="1"/>
      <c r="D197" s="1"/>
      <c r="E197" s="1"/>
      <c r="F197" s="1"/>
      <c r="G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3:85" x14ac:dyDescent="0.3">
      <c r="C198" s="1"/>
      <c r="D198" s="1"/>
      <c r="E198" s="1"/>
      <c r="F198" s="1"/>
      <c r="G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3:85" x14ac:dyDescent="0.3">
      <c r="C199" s="1"/>
      <c r="D199" s="1"/>
      <c r="E199" s="1"/>
      <c r="F199" s="1"/>
      <c r="G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3:85" x14ac:dyDescent="0.3">
      <c r="C200" s="1"/>
      <c r="D200" s="1"/>
      <c r="E200" s="1"/>
      <c r="F200" s="1"/>
      <c r="G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3:85" x14ac:dyDescent="0.3">
      <c r="C201" s="1"/>
      <c r="D201" s="1"/>
      <c r="E201" s="1"/>
      <c r="F201" s="1"/>
      <c r="G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3:85" x14ac:dyDescent="0.3">
      <c r="C202" s="1"/>
      <c r="D202" s="1"/>
      <c r="E202" s="1"/>
      <c r="F202" s="1"/>
      <c r="G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3:85" x14ac:dyDescent="0.3">
      <c r="C203" s="1"/>
      <c r="D203" s="1"/>
      <c r="E203" s="1"/>
      <c r="F203" s="1"/>
      <c r="G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3:85" x14ac:dyDescent="0.3">
      <c r="C204" s="1"/>
      <c r="D204" s="1"/>
      <c r="E204" s="1"/>
      <c r="F204" s="1"/>
      <c r="G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3:85" x14ac:dyDescent="0.3">
      <c r="C205" s="1"/>
      <c r="D205" s="1"/>
      <c r="E205" s="1"/>
      <c r="F205" s="1"/>
      <c r="G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3:85" x14ac:dyDescent="0.3">
      <c r="C206" s="1"/>
      <c r="D206" s="1"/>
      <c r="E206" s="1"/>
      <c r="F206" s="1"/>
      <c r="G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3:85" x14ac:dyDescent="0.3">
      <c r="C207" s="1"/>
      <c r="D207" s="1"/>
      <c r="E207" s="1"/>
      <c r="F207" s="1"/>
      <c r="G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3:85" x14ac:dyDescent="0.3">
      <c r="C208" s="1"/>
      <c r="D208" s="1"/>
      <c r="E208" s="1"/>
      <c r="F208" s="1"/>
      <c r="G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3:85" x14ac:dyDescent="0.3">
      <c r="C209" s="1"/>
      <c r="D209" s="1"/>
      <c r="E209" s="1"/>
      <c r="F209" s="1"/>
      <c r="G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3:85" x14ac:dyDescent="0.3">
      <c r="C210" s="1"/>
      <c r="D210" s="1"/>
      <c r="E210" s="1"/>
      <c r="F210" s="1"/>
      <c r="G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3:85" x14ac:dyDescent="0.3">
      <c r="C211" s="1"/>
      <c r="D211" s="1"/>
      <c r="E211" s="1"/>
      <c r="F211" s="1"/>
      <c r="G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3:85" x14ac:dyDescent="0.3">
      <c r="C212" s="1"/>
      <c r="D212" s="1"/>
      <c r="E212" s="1"/>
      <c r="F212" s="1"/>
      <c r="G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3:85" x14ac:dyDescent="0.3">
      <c r="C213" s="1"/>
      <c r="D213" s="1"/>
      <c r="E213" s="1"/>
      <c r="F213" s="1"/>
      <c r="G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3:85" x14ac:dyDescent="0.3">
      <c r="C214" s="1"/>
      <c r="D214" s="1"/>
      <c r="E214" s="1"/>
      <c r="F214" s="1"/>
      <c r="G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3:85" x14ac:dyDescent="0.3">
      <c r="C215" s="1"/>
      <c r="D215" s="1"/>
      <c r="E215" s="1"/>
      <c r="F215" s="1"/>
      <c r="G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3:85" x14ac:dyDescent="0.3">
      <c r="C216" s="1"/>
      <c r="D216" s="1"/>
      <c r="E216" s="1"/>
      <c r="F216" s="1"/>
      <c r="G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3:85" x14ac:dyDescent="0.3">
      <c r="C217" s="1"/>
      <c r="D217" s="1"/>
      <c r="E217" s="1"/>
      <c r="F217" s="1"/>
      <c r="G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3:85" x14ac:dyDescent="0.3">
      <c r="C218" s="1"/>
      <c r="D218" s="1"/>
      <c r="E218" s="1"/>
      <c r="F218" s="1"/>
      <c r="G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3:85" x14ac:dyDescent="0.3">
      <c r="C219" s="1"/>
      <c r="D219" s="1"/>
      <c r="E219" s="1"/>
      <c r="F219" s="1"/>
      <c r="G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3:85" x14ac:dyDescent="0.3">
      <c r="C220" s="1"/>
      <c r="D220" s="1"/>
      <c r="E220" s="1"/>
      <c r="F220" s="1"/>
      <c r="G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3:85" x14ac:dyDescent="0.3">
      <c r="C221" s="1"/>
      <c r="D221" s="1"/>
      <c r="E221" s="1"/>
      <c r="F221" s="1"/>
      <c r="G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3:85" x14ac:dyDescent="0.3">
      <c r="C222" s="1"/>
      <c r="D222" s="1"/>
      <c r="E222" s="1"/>
      <c r="F222" s="1"/>
      <c r="G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3:85" x14ac:dyDescent="0.3">
      <c r="C223" s="1"/>
      <c r="D223" s="1"/>
      <c r="E223" s="1"/>
      <c r="F223" s="1"/>
      <c r="G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3:85" x14ac:dyDescent="0.3">
      <c r="C224" s="1"/>
      <c r="D224" s="1"/>
      <c r="E224" s="1"/>
      <c r="F224" s="1"/>
      <c r="G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3:85" x14ac:dyDescent="0.3">
      <c r="C225" s="1"/>
      <c r="D225" s="1"/>
      <c r="E225" s="1"/>
      <c r="F225" s="1"/>
      <c r="G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3:85" x14ac:dyDescent="0.3">
      <c r="C226" s="1"/>
      <c r="D226" s="1"/>
      <c r="E226" s="1"/>
      <c r="F226" s="1"/>
      <c r="G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3:85" x14ac:dyDescent="0.3">
      <c r="C227" s="1"/>
      <c r="D227" s="1"/>
      <c r="E227" s="1"/>
      <c r="F227" s="1"/>
      <c r="G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3:85" x14ac:dyDescent="0.3">
      <c r="C228" s="1"/>
      <c r="D228" s="1"/>
      <c r="E228" s="1"/>
      <c r="F228" s="1"/>
      <c r="G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3:85" x14ac:dyDescent="0.3">
      <c r="C229" s="1"/>
      <c r="D229" s="1"/>
      <c r="E229" s="1"/>
      <c r="F229" s="1"/>
      <c r="G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3:85" x14ac:dyDescent="0.3">
      <c r="C230" s="1"/>
      <c r="D230" s="1"/>
      <c r="E230" s="1"/>
      <c r="F230" s="1"/>
      <c r="G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3:85" x14ac:dyDescent="0.3">
      <c r="C231" s="1"/>
      <c r="D231" s="1"/>
      <c r="E231" s="1"/>
      <c r="F231" s="1"/>
      <c r="G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3:85" x14ac:dyDescent="0.3">
      <c r="C232" s="1"/>
      <c r="D232" s="1"/>
      <c r="E232" s="1"/>
      <c r="F232" s="1"/>
      <c r="G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3:85" x14ac:dyDescent="0.3">
      <c r="C233" s="1"/>
      <c r="D233" s="1"/>
      <c r="E233" s="1"/>
      <c r="F233" s="1"/>
      <c r="G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3:85" x14ac:dyDescent="0.3">
      <c r="C234" s="1"/>
      <c r="D234" s="1"/>
      <c r="E234" s="1"/>
      <c r="F234" s="1"/>
      <c r="G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3:85" x14ac:dyDescent="0.3">
      <c r="C235" s="1"/>
      <c r="D235" s="1"/>
      <c r="E235" s="1"/>
      <c r="F235" s="1"/>
      <c r="G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3:85" x14ac:dyDescent="0.3">
      <c r="C236" s="1"/>
      <c r="D236" s="1"/>
      <c r="E236" s="1"/>
      <c r="F236" s="1"/>
      <c r="G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3:85" x14ac:dyDescent="0.3">
      <c r="C237" s="1"/>
      <c r="D237" s="1"/>
      <c r="E237" s="1"/>
      <c r="F237" s="1"/>
      <c r="G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3:85" x14ac:dyDescent="0.3">
      <c r="C238" s="1"/>
      <c r="D238" s="1"/>
      <c r="E238" s="1"/>
      <c r="F238" s="1"/>
      <c r="G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3:85" x14ac:dyDescent="0.3">
      <c r="C239" s="1"/>
      <c r="D239" s="1"/>
      <c r="E239" s="1"/>
      <c r="F239" s="1"/>
      <c r="G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3:85" x14ac:dyDescent="0.3">
      <c r="C240" s="1"/>
      <c r="D240" s="1"/>
      <c r="E240" s="1"/>
      <c r="F240" s="1"/>
      <c r="G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3:85" x14ac:dyDescent="0.3">
      <c r="C241" s="1"/>
      <c r="D241" s="1"/>
      <c r="E241" s="1"/>
      <c r="F241" s="1"/>
      <c r="G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3:85" x14ac:dyDescent="0.3">
      <c r="C242" s="1"/>
      <c r="D242" s="1"/>
      <c r="E242" s="1"/>
      <c r="F242" s="1"/>
      <c r="G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3:85" x14ac:dyDescent="0.3">
      <c r="C243" s="1"/>
      <c r="D243" s="1"/>
      <c r="E243" s="1"/>
      <c r="F243" s="1"/>
      <c r="G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3:85" x14ac:dyDescent="0.3">
      <c r="C244" s="1"/>
      <c r="D244" s="1"/>
      <c r="E244" s="1"/>
      <c r="F244" s="1"/>
      <c r="G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3:85" x14ac:dyDescent="0.3">
      <c r="C245" s="1"/>
      <c r="D245" s="1"/>
      <c r="E245" s="1"/>
      <c r="F245" s="1"/>
      <c r="G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3:85" x14ac:dyDescent="0.3">
      <c r="C246" s="1"/>
      <c r="D246" s="1"/>
      <c r="E246" s="1"/>
      <c r="F246" s="1"/>
      <c r="G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3:85" x14ac:dyDescent="0.3">
      <c r="C247" s="1"/>
      <c r="D247" s="1"/>
      <c r="E247" s="1"/>
      <c r="F247" s="1"/>
      <c r="G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3:85" x14ac:dyDescent="0.3">
      <c r="C248" s="1"/>
      <c r="D248" s="1"/>
      <c r="E248" s="1"/>
      <c r="F248" s="1"/>
      <c r="G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3:85" x14ac:dyDescent="0.3">
      <c r="C249" s="1"/>
      <c r="D249" s="1"/>
      <c r="E249" s="1"/>
      <c r="F249" s="1"/>
      <c r="G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3:85" x14ac:dyDescent="0.3">
      <c r="C250" s="1"/>
      <c r="D250" s="1"/>
      <c r="E250" s="1"/>
      <c r="F250" s="1"/>
      <c r="G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3:85" x14ac:dyDescent="0.3">
      <c r="C251" s="1"/>
      <c r="D251" s="1"/>
      <c r="E251" s="1"/>
      <c r="F251" s="1"/>
      <c r="G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3:85" x14ac:dyDescent="0.3">
      <c r="C252" s="1"/>
      <c r="D252" s="1"/>
      <c r="E252" s="1"/>
      <c r="F252" s="1"/>
      <c r="G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3:85" x14ac:dyDescent="0.3">
      <c r="C253" s="1"/>
      <c r="D253" s="1"/>
      <c r="E253" s="1"/>
      <c r="F253" s="1"/>
      <c r="G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3:85" x14ac:dyDescent="0.3">
      <c r="C254" s="1"/>
      <c r="D254" s="1"/>
      <c r="E254" s="1"/>
      <c r="F254" s="1"/>
      <c r="G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3:85" x14ac:dyDescent="0.3">
      <c r="C255" s="1"/>
      <c r="D255" s="1"/>
      <c r="E255" s="1"/>
      <c r="F255" s="1"/>
      <c r="G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3:85" x14ac:dyDescent="0.3">
      <c r="C256" s="1"/>
      <c r="D256" s="1"/>
      <c r="E256" s="1"/>
      <c r="F256" s="1"/>
      <c r="G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3:85" x14ac:dyDescent="0.3">
      <c r="C257" s="1"/>
      <c r="D257" s="1"/>
      <c r="E257" s="1"/>
      <c r="F257" s="1"/>
      <c r="G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3:85" x14ac:dyDescent="0.3">
      <c r="C258" s="1"/>
      <c r="D258" s="1"/>
      <c r="E258" s="1"/>
      <c r="F258" s="1"/>
      <c r="G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3:85" x14ac:dyDescent="0.3">
      <c r="C259" s="1"/>
      <c r="D259" s="1"/>
      <c r="E259" s="1"/>
      <c r="F259" s="1"/>
      <c r="G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3:85" x14ac:dyDescent="0.3">
      <c r="C260" s="1"/>
      <c r="D260" s="1"/>
      <c r="E260" s="1"/>
      <c r="F260" s="1"/>
      <c r="G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3:85" x14ac:dyDescent="0.3">
      <c r="C261" s="1"/>
      <c r="D261" s="1"/>
      <c r="E261" s="1"/>
      <c r="F261" s="1"/>
      <c r="G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3:85" x14ac:dyDescent="0.3">
      <c r="C262" s="1"/>
      <c r="D262" s="1"/>
      <c r="E262" s="1"/>
      <c r="F262" s="1"/>
      <c r="G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3:85" x14ac:dyDescent="0.3">
      <c r="C263" s="1"/>
      <c r="D263" s="1"/>
      <c r="E263" s="1"/>
      <c r="F263" s="1"/>
      <c r="G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3:85" x14ac:dyDescent="0.3">
      <c r="C264" s="1"/>
      <c r="D264" s="1"/>
      <c r="E264" s="1"/>
      <c r="F264" s="1"/>
      <c r="G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3:85" x14ac:dyDescent="0.3">
      <c r="C265" s="1"/>
      <c r="D265" s="1"/>
      <c r="E265" s="1"/>
      <c r="F265" s="1"/>
      <c r="G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3:85" x14ac:dyDescent="0.3">
      <c r="C266" s="1"/>
      <c r="D266" s="1"/>
      <c r="E266" s="1"/>
      <c r="F266" s="1"/>
      <c r="G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3:85" x14ac:dyDescent="0.3">
      <c r="C267" s="1"/>
      <c r="D267" s="1"/>
      <c r="E267" s="1"/>
      <c r="F267" s="1"/>
      <c r="G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3:85" x14ac:dyDescent="0.3">
      <c r="C268" s="1"/>
      <c r="D268" s="1"/>
      <c r="E268" s="1"/>
      <c r="F268" s="1"/>
      <c r="G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3:85" x14ac:dyDescent="0.3">
      <c r="C269" s="1"/>
      <c r="D269" s="1"/>
      <c r="E269" s="1"/>
      <c r="F269" s="1"/>
      <c r="G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3:85" x14ac:dyDescent="0.3">
      <c r="C270" s="1"/>
      <c r="D270" s="1"/>
      <c r="E270" s="1"/>
      <c r="F270" s="1"/>
      <c r="G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3:85" x14ac:dyDescent="0.3">
      <c r="C271" s="1"/>
      <c r="D271" s="1"/>
      <c r="E271" s="1"/>
      <c r="F271" s="1"/>
      <c r="G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3:85" x14ac:dyDescent="0.3">
      <c r="C272" s="1"/>
      <c r="D272" s="1"/>
      <c r="E272" s="1"/>
      <c r="F272" s="1"/>
      <c r="G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3:85" x14ac:dyDescent="0.3">
      <c r="C273" s="1"/>
      <c r="D273" s="1"/>
      <c r="E273" s="1"/>
      <c r="F273" s="1"/>
      <c r="G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3:85" x14ac:dyDescent="0.3">
      <c r="C274" s="1"/>
      <c r="D274" s="1"/>
      <c r="E274" s="1"/>
      <c r="F274" s="1"/>
      <c r="G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3:85" x14ac:dyDescent="0.3">
      <c r="C275" s="1"/>
      <c r="D275" s="1"/>
      <c r="E275" s="1"/>
      <c r="F275" s="1"/>
      <c r="G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3:85" x14ac:dyDescent="0.3">
      <c r="C276" s="1"/>
      <c r="D276" s="1"/>
      <c r="E276" s="1"/>
      <c r="F276" s="1"/>
      <c r="G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3:85" x14ac:dyDescent="0.3">
      <c r="C277" s="1"/>
      <c r="D277" s="1"/>
      <c r="E277" s="1"/>
      <c r="F277" s="1"/>
      <c r="G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3:85" x14ac:dyDescent="0.3">
      <c r="C278" s="1"/>
      <c r="D278" s="1"/>
      <c r="E278" s="1"/>
      <c r="F278" s="1"/>
      <c r="G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3:85" x14ac:dyDescent="0.3">
      <c r="C279" s="1"/>
      <c r="D279" s="1"/>
      <c r="E279" s="1"/>
      <c r="F279" s="1"/>
      <c r="G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3:85" x14ac:dyDescent="0.3">
      <c r="C280" s="1"/>
      <c r="D280" s="1"/>
      <c r="E280" s="1"/>
      <c r="F280" s="1"/>
      <c r="G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3:85" x14ac:dyDescent="0.3">
      <c r="C281" s="1"/>
      <c r="D281" s="1"/>
      <c r="E281" s="1"/>
      <c r="F281" s="1"/>
      <c r="G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3:85" x14ac:dyDescent="0.3">
      <c r="C282" s="1"/>
      <c r="D282" s="1"/>
      <c r="E282" s="1"/>
      <c r="F282" s="1"/>
      <c r="G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3:85" x14ac:dyDescent="0.3">
      <c r="C283" s="1"/>
      <c r="D283" s="1"/>
      <c r="E283" s="1"/>
      <c r="F283" s="1"/>
      <c r="G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3:85" x14ac:dyDescent="0.3">
      <c r="C284" s="1"/>
      <c r="D284" s="1"/>
      <c r="E284" s="1"/>
      <c r="F284" s="1"/>
      <c r="G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3:85" x14ac:dyDescent="0.3">
      <c r="C285" s="1"/>
      <c r="D285" s="1"/>
      <c r="E285" s="1"/>
      <c r="F285" s="1"/>
      <c r="G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3:85" x14ac:dyDescent="0.3">
      <c r="C286" s="1"/>
      <c r="D286" s="1"/>
      <c r="E286" s="1"/>
      <c r="F286" s="1"/>
      <c r="G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3:85" x14ac:dyDescent="0.3">
      <c r="C287" s="1"/>
      <c r="D287" s="1"/>
      <c r="E287" s="1"/>
      <c r="F287" s="1"/>
      <c r="G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3:85" x14ac:dyDescent="0.3">
      <c r="C288" s="1"/>
      <c r="D288" s="1"/>
      <c r="E288" s="1"/>
      <c r="F288" s="1"/>
      <c r="G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3:85" x14ac:dyDescent="0.3">
      <c r="C289" s="1"/>
      <c r="D289" s="1"/>
      <c r="E289" s="1"/>
      <c r="F289" s="1"/>
      <c r="G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3:85" x14ac:dyDescent="0.3">
      <c r="C290" s="1"/>
      <c r="D290" s="1"/>
      <c r="E290" s="1"/>
      <c r="F290" s="1"/>
      <c r="G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3:85" x14ac:dyDescent="0.3">
      <c r="C291" s="1"/>
      <c r="D291" s="1"/>
      <c r="E291" s="1"/>
      <c r="F291" s="1"/>
      <c r="G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3:85" x14ac:dyDescent="0.3">
      <c r="C292" s="1"/>
      <c r="D292" s="1"/>
      <c r="E292" s="1"/>
      <c r="F292" s="1"/>
      <c r="G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3:85" x14ac:dyDescent="0.3">
      <c r="C293" s="1"/>
      <c r="D293" s="1"/>
      <c r="E293" s="1"/>
      <c r="F293" s="1"/>
      <c r="G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3:85" x14ac:dyDescent="0.3">
      <c r="C294" s="1"/>
      <c r="D294" s="1"/>
      <c r="E294" s="1"/>
      <c r="F294" s="1"/>
      <c r="G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3:85" x14ac:dyDescent="0.3">
      <c r="C295" s="1"/>
      <c r="D295" s="1"/>
      <c r="E295" s="1"/>
      <c r="F295" s="1"/>
      <c r="G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3:85" x14ac:dyDescent="0.3">
      <c r="C296" s="1"/>
      <c r="D296" s="1"/>
      <c r="E296" s="1"/>
      <c r="F296" s="1"/>
      <c r="G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3:85" x14ac:dyDescent="0.3">
      <c r="C297" s="1"/>
      <c r="D297" s="1"/>
      <c r="E297" s="1"/>
      <c r="F297" s="1"/>
      <c r="G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3:85" x14ac:dyDescent="0.3">
      <c r="C298" s="1"/>
      <c r="D298" s="1"/>
      <c r="E298" s="1"/>
      <c r="F298" s="1"/>
      <c r="G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3:85" x14ac:dyDescent="0.3">
      <c r="C299" s="1"/>
      <c r="D299" s="1"/>
      <c r="E299" s="1"/>
      <c r="F299" s="1"/>
      <c r="G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3:85" x14ac:dyDescent="0.3">
      <c r="C300" s="1"/>
      <c r="D300" s="1"/>
      <c r="E300" s="1"/>
      <c r="F300" s="1"/>
      <c r="G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3:85" x14ac:dyDescent="0.3">
      <c r="C301" s="1"/>
      <c r="D301" s="1"/>
      <c r="E301" s="1"/>
      <c r="F301" s="1"/>
      <c r="G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3:85" x14ac:dyDescent="0.3">
      <c r="C302" s="1"/>
      <c r="D302" s="1"/>
      <c r="E302" s="1"/>
      <c r="F302" s="1"/>
      <c r="G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3:85" x14ac:dyDescent="0.3">
      <c r="C303" s="1"/>
      <c r="D303" s="1"/>
      <c r="E303" s="1"/>
      <c r="F303" s="1"/>
      <c r="G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3:85" x14ac:dyDescent="0.3">
      <c r="C304" s="1"/>
      <c r="D304" s="1"/>
      <c r="E304" s="1"/>
      <c r="F304" s="1"/>
      <c r="G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3:85" x14ac:dyDescent="0.3">
      <c r="C305" s="1"/>
      <c r="D305" s="1"/>
      <c r="E305" s="1"/>
      <c r="F305" s="1"/>
      <c r="G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3:85" x14ac:dyDescent="0.3">
      <c r="C306" s="1"/>
      <c r="D306" s="1"/>
      <c r="E306" s="1"/>
      <c r="F306" s="1"/>
      <c r="G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3:85" x14ac:dyDescent="0.3">
      <c r="C307" s="1"/>
      <c r="D307" s="1"/>
      <c r="E307" s="1"/>
      <c r="F307" s="1"/>
      <c r="G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3:85" x14ac:dyDescent="0.3">
      <c r="C308" s="1"/>
      <c r="D308" s="1"/>
      <c r="E308" s="1"/>
      <c r="F308" s="1"/>
      <c r="G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3:85" x14ac:dyDescent="0.3">
      <c r="C309" s="1"/>
      <c r="D309" s="1"/>
      <c r="E309" s="1"/>
      <c r="F309" s="1"/>
      <c r="G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3:85" x14ac:dyDescent="0.3">
      <c r="C310" s="1"/>
      <c r="D310" s="1"/>
      <c r="E310" s="1"/>
      <c r="F310" s="1"/>
      <c r="G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3:85" x14ac:dyDescent="0.3">
      <c r="C311" s="1"/>
      <c r="D311" s="1"/>
      <c r="E311" s="1"/>
      <c r="F311" s="1"/>
      <c r="G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3:85" x14ac:dyDescent="0.3">
      <c r="C312" s="1"/>
      <c r="D312" s="1"/>
      <c r="E312" s="1"/>
      <c r="F312" s="1"/>
      <c r="G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3:85" x14ac:dyDescent="0.3">
      <c r="C313" s="1"/>
      <c r="D313" s="1"/>
      <c r="E313" s="1"/>
      <c r="F313" s="1"/>
      <c r="G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3:85" x14ac:dyDescent="0.3">
      <c r="C314" s="1"/>
      <c r="D314" s="1"/>
      <c r="E314" s="1"/>
      <c r="F314" s="1"/>
      <c r="G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3:85" x14ac:dyDescent="0.3">
      <c r="C315" s="1"/>
      <c r="D315" s="1"/>
      <c r="E315" s="1"/>
      <c r="F315" s="1"/>
      <c r="G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3:85" x14ac:dyDescent="0.3">
      <c r="C316" s="1"/>
      <c r="D316" s="1"/>
      <c r="E316" s="1"/>
      <c r="F316" s="1"/>
      <c r="G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3:85" x14ac:dyDescent="0.3">
      <c r="C317" s="1"/>
      <c r="D317" s="1"/>
      <c r="E317" s="1"/>
      <c r="F317" s="1"/>
      <c r="G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</sheetData>
  <mergeCells count="1"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ameth espinosa</dc:creator>
  <cp:lastModifiedBy>ameth espinosa</cp:lastModifiedBy>
  <dcterms:created xsi:type="dcterms:W3CDTF">2025-10-08T00:54:07Z</dcterms:created>
  <dcterms:modified xsi:type="dcterms:W3CDTF">2025-10-10T15:23:25Z</dcterms:modified>
</cp:coreProperties>
</file>